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NĂM 4\Capstone_Final\Data_input\"/>
    </mc:Choice>
  </mc:AlternateContent>
  <xr:revisionPtr revIDLastSave="0" documentId="13_ncr:1_{70DCE91B-7CBA-4ED8-926E-8DA0392CFA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1_Data Input" sheetId="2" r:id="rId2"/>
    <sheet name="2_Data Input" sheetId="4" r:id="rId3"/>
    <sheet name="Sheet3" sheetId="5" r:id="rId4"/>
    <sheet name="role nhân sự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<sst xmlns="http://schemas.openxmlformats.org/spreadsheetml/2006/main" count="590" uniqueCount="455">
  <si>
    <t>48_slice customer baseline</t>
  </si>
  <si>
    <t>Logic</t>
  </si>
  <si>
    <t>Paper nên cite</t>
  </si>
  <si>
    <t>Airport passenger demand shape</t>
  </si>
  <si>
    <t>Postorino et al. (2019)</t>
  </si>
  <si>
    <t>Time-varying arrival / NHPP service system</t>
  </si>
  <si>
    <t>Kim &amp; Whitt (2014)</t>
  </si>
  <si>
    <t>Piecewise-constant NHPP theo interval</t>
  </si>
  <si>
    <r>
      <t xml:space="preserve">Code hiện tại </t>
    </r>
    <r>
      <rPr>
        <sz val="10"/>
        <color theme="1"/>
        <rFont val="Arial Unicode MS"/>
        <family val="2"/>
      </rPr>
      <t>Poisson(lambda_i * 0.5)</t>
    </r>
  </si>
  <si>
    <r>
      <t>Kim &amp; Whitt (2014)</t>
    </r>
    <r>
      <rPr>
        <sz val="11"/>
        <color theme="1"/>
        <rFont val="Calibri"/>
        <family val="2"/>
        <scheme val="minor"/>
      </rPr>
      <t xml:space="preserve"> + tính chất chuẩn của Poisson process</t>
    </r>
  </si>
  <si>
    <t>Ý nghĩa</t>
  </si>
  <si>
    <t>1 shift = 8 giờ</t>
  </si>
  <si>
    <t>Role</t>
  </si>
  <si>
    <t>Tên hiểu theo mô hình</t>
  </si>
  <si>
    <t>Công việc chính</t>
  </si>
  <si>
    <t>RS</t>
  </si>
  <si>
    <t>Reception Staff</t>
  </si>
  <si>
    <t>Check-in / access control</t>
  </si>
  <si>
    <t>DAS</t>
  </si>
  <si>
    <t>Dining Area Staff</t>
  </si>
  <si>
    <t>Clear/reset bàn</t>
  </si>
  <si>
    <t>BLO</t>
  </si>
  <si>
    <t>Buffet Line Operator</t>
  </si>
  <si>
    <t>Buffet service / line interaction</t>
  </si>
  <si>
    <t>FSTC</t>
  </si>
  <si>
    <t>Food Safety / Temperature Checker</t>
  </si>
  <si>
    <t>Kiểm tra nhiệt độ</t>
  </si>
  <si>
    <t>DS</t>
  </si>
  <si>
    <t>Dishwashing Staff</t>
  </si>
  <si>
    <t>Rửa chén theo batch</t>
  </si>
  <si>
    <t>SLS</t>
  </si>
  <si>
    <t>Supply / Logistics Staff</t>
  </si>
  <si>
    <t>Refill buffet stock</t>
  </si>
  <si>
    <t>DEFAULT_STAFF</t>
  </si>
  <si>
    <t>2 nhân viên reception trong SimPy</t>
  </si>
  <si>
    <t>10 nhân viên dining area/cleaning</t>
  </si>
  <si>
    <t>6 nhân viên buffet line</t>
  </si>
  <si>
    <t>2 nhân viên/checker food safety</t>
  </si>
  <si>
    <t>2 nhân viên dishwashing</t>
  </si>
  <si>
    <t>2 nhân viên refill/logistics</t>
  </si>
  <si>
    <t>initial simulation setting</t>
  </si>
  <si>
    <t>staffing rule / management assumption</t>
  </si>
  <si>
    <t>MANDATORY_MIN</t>
  </si>
  <si>
    <t>Thông số</t>
  </si>
  <si>
    <t>Giá trị trong code/file</t>
  </si>
  <si>
    <t>Từ đâu có?</t>
  </si>
  <si>
    <t>Giải thích</t>
  </si>
  <si>
    <t>OPERATING_HOURS</t>
  </si>
  <si>
    <t>Lounge vận hành 00:00–24:00</t>
  </si>
  <si>
    <t>SLICE_MINUTES</t>
  </si>
  <si>
    <t>Chia ngày thành lát 30 phút</t>
  </si>
  <si>
    <t>SLICE_HOURS</t>
  </si>
  <si>
    <t>Tính từ 30 phút</t>
  </si>
  <si>
    <t>Dùng trong công thức (\lambda_i \times \Delta t)</t>
  </si>
  <si>
    <t>N_SLICES</t>
  </si>
  <si>
    <t>Tính toán</t>
  </si>
  <si>
    <t>(24 / 0.5 = 48) slices</t>
  </si>
  <si>
    <t>SHIFT_LENGTH</t>
  </si>
  <si>
    <t>8 giờ</t>
  </si>
  <si>
    <t>slice_per_shift</t>
  </si>
  <si>
    <t>(8 / 0.5 = 16) slices/shift</t>
  </si>
  <si>
    <t>TOTAL_DAILY_EXPECTED_CUSTOMERS</t>
  </si>
  <si>
    <t>Scenario assumption</t>
  </si>
  <si>
    <t>Không lấy từ paper; là giả định base-day demand</t>
  </si>
  <si>
    <t>RANDOM_SEED</t>
  </si>
  <si>
    <t>base_floor</t>
  </si>
  <si>
    <t>Giữ demand nền, tránh giờ nào đó về gần 0</t>
  </si>
  <si>
    <t>Morning peak center</t>
  </si>
  <si>
    <t>Peak sáng lúc khoảng 07:30</t>
  </si>
  <si>
    <t>Midday peak center</t>
  </si>
  <si>
    <t>Peak giữa ngày</t>
  </si>
  <si>
    <t>Evening peak center</t>
  </si>
  <si>
    <t>Peak tối lúc khoảng 18:30</t>
  </si>
  <si>
    <t>Late-night peak center</t>
  </si>
  <si>
    <t>Một cụm demand đêm</t>
  </si>
  <si>
    <t>lambda_per_hour</t>
  </si>
  <si>
    <t>Từ NHPP logic</t>
  </si>
  <si>
    <t>Arrival rate theo giờ</t>
  </si>
  <si>
    <t>actual_arrivals</t>
  </si>
  <si>
    <t>Poisson(expected)</t>
  </si>
  <si>
    <t>Kim &amp; Whitt + Poisson process</t>
  </si>
  <si>
    <t>Uniform arrival time trong slice</t>
  </si>
  <si>
    <t>Random trong 30 phút</t>
  </si>
  <si>
    <t>Simulation assumption</t>
  </si>
  <si>
    <t>Sau khi biết có N khách trong slice, rải họ trong interval</t>
  </si>
  <si>
    <t>1_ Data Input</t>
  </si>
  <si>
    <t>shift_id</t>
  </si>
  <si>
    <t>1, 2, 3</t>
  </si>
  <si>
    <t>Chia ngày thành 3 shift</t>
  </si>
  <si>
    <t>1 shift = 8 giờ = 16 slices</t>
  </si>
  <si>
    <t>scenario-based daily demand assumption</t>
  </si>
  <si>
    <t>Input vận hành</t>
  </si>
  <si>
    <t>Input scenario demand</t>
  </si>
  <si>
    <t>Low day</t>
  </si>
  <si>
    <t>Gợi ý scenario thấp</t>
  </si>
  <si>
    <t>Base day</t>
  </si>
  <si>
    <t>Scenario đang chạy</t>
  </si>
  <si>
    <t>High day</t>
  </si>
  <si>
    <t>Gợi ý scenario cao</t>
  </si>
  <si>
    <t>Giả định scenario</t>
  </si>
  <si>
    <t>Morning width</t>
  </si>
  <si>
    <t>Độ rộng peak sáng</t>
  </si>
  <si>
    <t>Morning amplitude</t>
  </si>
  <si>
    <t>Độ mạnh peak sáng</t>
  </si>
  <si>
    <t>Midday width</t>
  </si>
  <si>
    <t>Độ rộng peak trưa</t>
  </si>
  <si>
    <t>Midday amplitude</t>
  </si>
  <si>
    <t>Độ mạnh peak trưa</t>
  </si>
  <si>
    <t>Evening width</t>
  </si>
  <si>
    <t>Độ rộng peak tối</t>
  </si>
  <si>
    <t>Evening amplitude</t>
  </si>
  <si>
    <t>Độ mạnh peak tối</t>
  </si>
  <si>
    <t>Late-night width</t>
  </si>
  <si>
    <t>Độ rộng peak đêm</t>
  </si>
  <si>
    <t>Late-night amplitude</t>
  </si>
  <si>
    <t>Độ mạnh peak đêm</t>
  </si>
  <si>
    <t>Scenario assumption (Peak lúc 7:30)</t>
  </si>
  <si>
    <t>Scenario assumption (Peak lúc 12:00)</t>
  </si>
  <si>
    <t>Scenario assumption (Peak lúc 18:30)</t>
  </si>
  <si>
    <t>Input tạo airport demand shape</t>
  </si>
  <si>
    <t>Input stochastic simulation</t>
  </si>
  <si>
    <t>Giúp kết quả random lặp lại được</t>
  </si>
  <si>
    <t>Kỹ thuật simulation</t>
  </si>
  <si>
    <t>expected_arrivals_30min</t>
  </si>
  <si>
    <t>Tính từ normalized demand × 900</t>
  </si>
  <si>
    <t>Mean của Poisson</t>
  </si>
  <si>
    <t>Kết quả trung gian</t>
  </si>
  <si>
    <t>expected / 0.5</t>
  </si>
  <si>
    <t>Số khách thực tế giả lập</t>
  </si>
  <si>
    <t>arrival_time_min</t>
  </si>
  <si>
    <t>Uniform trong slice</t>
  </si>
  <si>
    <t>Giờ đến cụ thể của từng khách</t>
  </si>
  <si>
    <t>Từ bài toán/report của nhóm</t>
  </si>
  <si>
    <t>Quy ước mô hình của nhóm</t>
  </si>
  <si>
    <t>Giả định piecewise-constant NHPP_ Simulation assumption</t>
  </si>
  <si>
    <t>Input phân loại demand level</t>
  </si>
  <si>
    <t>Peak</t>
  </si>
  <si>
    <t>normalized_weight &gt;= 0.030</t>
  </si>
  <si>
    <t>High</t>
  </si>
  <si>
    <t>&gt;= 0.023</t>
  </si>
  <si>
    <t>Medium</t>
  </si>
  <si>
    <t>&gt;= 0.017</t>
  </si>
  <si>
    <t>Low</t>
  </si>
  <si>
    <t>&lt; 0.017</t>
  </si>
  <si>
    <t>Rule-based classification để chuyển normalized demand thành Low/Medium/High/Peak</t>
  </si>
  <si>
    <t xml:space="preserve">Vì một ngày được chia thành 48 lát 30 phút, mức trung bình của một lát là 1/48 = 0.0208, tương đương 2.08% tổng daily demand. Do đó, các ngưỡng 0.017, 0.023 và 0.030 được dùng như rule-based thresholds để phân loại lát thời gian thấp hơn trung bình, gần trung bình, cao hơn trung bình và peak. </t>
  </si>
  <si>
    <t>Sheet</t>
  </si>
  <si>
    <t>Nội dung</t>
  </si>
  <si>
    <t>paper_mapping</t>
  </si>
  <si>
    <t>Mapping paper nào hỗ trợ phần nào của model</t>
  </si>
  <si>
    <t>demand_shape_48</t>
  </si>
  <si>
    <t>Bảng 48 slice với raw weight, normalized weight, expected arrivals</t>
  </si>
  <si>
    <t>generated_arrivals</t>
  </si>
  <si>
    <t>Bảng 48 slice có thêm actual arrivals</t>
  </si>
  <si>
    <t>arrival_events</t>
  </si>
  <si>
    <t>Bảng từng customer arrival event</t>
  </si>
  <si>
    <t>shift_summary</t>
  </si>
  <si>
    <t>Tổng hợp expected/actual theo 3 shift</t>
  </si>
  <si>
    <t>Script chuyển baseline arrival 48 lát thành input SimPy, chạy NHPP/Poisson, chọn replication thực tế nhất, rồi tính workload và required staff.</t>
  </si>
  <si>
    <t>Mục đích mô hình</t>
  </si>
  <si>
    <t>Convert 48-slice customer-arrival baseline into SimPy input</t>
  </si>
  <si>
    <t>Code purpose</t>
  </si>
  <si>
    <t>Không đưa tổng khách/ngày vào SimPy. Code giữ lambda(t) theo từng lát 30 phút để bảo toàn shape demand theo thời gian.</t>
  </si>
  <si>
    <t>Nguyên tắc input chính</t>
  </si>
  <si>
    <t>Pass lambda(t) by 48 slices per day</t>
  </si>
  <si>
    <t>Paper-based method + code design</t>
  </si>
  <si>
    <t>Nguyên lý học thuật là time-varying arrival process/NHPP. Exact lambda value nằm trong file Excel input, không sinh trực tiếp trong script này.</t>
  </si>
  <si>
    <t>Đơn vị thời gian mô phỏng</t>
  </si>
  <si>
    <t>minutes</t>
  </si>
  <si>
    <t>Assumption trong code</t>
  </si>
  <si>
    <t>Toàn bộ event time, arrival time, service time, dwell time đều tính bằng phút.</t>
  </si>
  <si>
    <t>INTERVAL_MINUTES</t>
  </si>
  <si>
    <t>30</t>
  </si>
  <si>
    <t>Operation concept / assumption</t>
  </si>
  <si>
    <t>Một lát thời gian = 30 phút. Đây là độ phân giải dùng để đọc demand, aggregate workload, và tính required staff.</t>
  </si>
  <si>
    <t>INTERVAL_HOURS</t>
  </si>
  <si>
    <t>30 / 60 = 0.5 hour</t>
  </si>
  <si>
    <t>Computed from code</t>
  </si>
  <si>
    <t>Dùng để đổi lambda_per_hour sang expected_arrivals_30min.</t>
  </si>
  <si>
    <t>DAY_MINUTES</t>
  </si>
  <si>
    <t>24 * 60 = 1440</t>
  </si>
  <si>
    <t>Một ngày vận hành được mô phỏng từ 00:00 đến 24:00.</t>
  </si>
  <si>
    <t>SHIFT_MINUTES</t>
  </si>
  <si>
    <t>8 * 60 = 480</t>
  </si>
  <si>
    <t>Một shift dài 8 giờ.</t>
  </si>
  <si>
    <t>SLICES_PER_DAY</t>
  </si>
  <si>
    <t>48</t>
  </si>
  <si>
    <t>Computed from operation concept</t>
  </si>
  <si>
    <t>24 giờ / 0.5 giờ = 48 lát/ngày.</t>
  </si>
  <si>
    <t>SLICES_PER_SHIFT</t>
  </si>
  <si>
    <t>16</t>
  </si>
  <si>
    <t>8 giờ / 0.5 giờ = 16 lát/shift.</t>
  </si>
  <si>
    <t>Shift mapping</t>
  </si>
  <si>
    <t>S1: 00:00-08:00; S2: 08:00-16:00; S3: 16:00-24:00</t>
  </si>
  <si>
    <t>Assumption trong hàm shift_from_minute()</t>
  </si>
  <si>
    <t>Code gán shift_id dựa trên minute of day: &lt;480 là S1, &lt;960 là S2, còn lại là S3.</t>
  </si>
  <si>
    <t>ROLES</t>
  </si>
  <si>
    <t>RS, DAS, BLO, FSTC, DS, SLS</t>
  </si>
  <si>
    <t>Operational workflow assumption</t>
  </si>
  <si>
    <t>Các nhóm role được mô phỏng: Reception/Access, Dining Area Service, Buffet Line Operator, Food Safety Temperature Check, Dishwashing, Stock/Logistics Support.</t>
  </si>
  <si>
    <t>{RS:2, DAS:10, BLO:6, FSTC:2, DS:2, SLS:2}</t>
  </si>
  <si>
    <t>Baseline operational assumption in code</t>
  </si>
  <si>
    <t>Đây là capacity resource ban đầu để tạo queue/wait trong SimPy; không phải kết quả roster tối ưu cuối cùng.</t>
  </si>
  <si>
    <t>{RS:1, DAS:1, BLO:1, FSTC:1, DS:1, SLS:1}</t>
  </si>
  <si>
    <t>Operational minimum assumption</t>
  </si>
  <si>
    <t>Khi quy đổi workload sang required staff, mỗi role bắt buộc vẫn có tối thiểu 1 người nếu role đó cần hiện diện.</t>
  </si>
  <si>
    <t>ROLE_WAIT_KPI</t>
  </si>
  <si>
    <t>{RS:5, DAS:4, BLO:6, FSTC:5, DS:10, SLS:5} minutes</t>
  </si>
  <si>
    <t>Service KPI assumption in code</t>
  </si>
  <si>
    <t>Dùng để đánh dấu kpi_wait_pass/fail cho từng service event. Đây là threshold vận hành, không phải kết quả mô phỏng.</t>
  </si>
  <si>
    <t>Default input file</t>
  </si>
  <si>
    <t>arrival_baseline_48_slices.xlsx</t>
  </si>
  <si>
    <t>Command-line default / file input</t>
  </si>
  <si>
    <t>Workbook đầu vào chứa bảng demand/lambda theo 48 lát thời gian.</t>
  </si>
  <si>
    <t>Default arrival sheet</t>
  </si>
  <si>
    <t>Sheet mặc định để đọc bảng lambda(t). Nếu không có sheet này, code tự tìm sheet có tên chứa arrival, demand, shape, hoặc lambda.</t>
  </si>
  <si>
    <t>Default output file</t>
  </si>
  <si>
    <t>simpy_28days_best_replication_outputs.xlsx</t>
  </si>
  <si>
    <t>Command-line default</t>
  </si>
  <si>
    <t>File Excel summary đầu ra sau khi chạy mô phỏng.</t>
  </si>
  <si>
    <t>Default scenario</t>
  </si>
  <si>
    <t>Normal</t>
  </si>
  <si>
    <t>Command-line default / scenario assumption</t>
  </si>
  <si>
    <t>Code mặc định lọc scenario Normal. Có thể đổi thành Low, Peak, hoặc All tùy workbook.</t>
  </si>
  <si>
    <t>simulation_days</t>
  </si>
  <si>
    <t>28</t>
  </si>
  <si>
    <t>Simulation design assumption</t>
  </si>
  <si>
    <t>Một replication đại diện cho 28 ngày vận hành, không phải chỉ 1 ngày.</t>
  </si>
  <si>
    <t>daily_demand_cv</t>
  </si>
  <si>
    <t>0.0</t>
  </si>
  <si>
    <t>0 nghĩa là mỗi ngày giữ cùng expected demand. Nếu &gt;0, code dùng lognormal day factor để tạo dao động demand giữa các ngày.</t>
  </si>
  <si>
    <t>replications</t>
  </si>
  <si>
    <t>Simulation control assumption</t>
  </si>
  <si>
    <t>Số candidate replications được generate để chọn replication có shape demand thực tế nhất.</t>
  </si>
  <si>
    <t>base_seed</t>
  </si>
  <si>
    <t>42</t>
  </si>
  <si>
    <t>Seed random để kết quả có thể tái lập khi chạy lại.</t>
  </si>
  <si>
    <t>lounge_capacity</t>
  </si>
  <si>
    <t>200</t>
  </si>
  <si>
    <t>Operational capacity assumption</t>
  </si>
  <si>
    <t>Số khách tối đa có thể ở trong lounge cùng lúc. Code dùng simpy.Container để kiểm soát occupancy.</t>
  </si>
  <si>
    <t>max_admission_wait</t>
  </si>
  <si>
    <t>30.0 minutes</t>
  </si>
  <si>
    <t>Operational behavior assumption</t>
  </si>
  <si>
    <t>Nếu lounge đầy và khách không vào được sau 30 phút, khách bị log là capacity_timeout.</t>
  </si>
  <si>
    <t>target_utilization</t>
  </si>
  <si>
    <t>0.85</t>
  </si>
  <si>
    <t>Staffing conversion assumption</t>
  </si>
  <si>
    <t>Dùng khi quy đổi workload sang nhân sự: mỗi nhân viên chỉ nên được tính 85% thời gian 30 phút để có buffer vận hành.</t>
  </si>
  <si>
    <t>--staff argument</t>
  </si>
  <si>
    <t>Optional, example: RS=2,DAS=10,BLO=6,FSTC=2,DS=2,SLS=2</t>
  </si>
  <si>
    <t>User input / command-line parameter</t>
  </si>
  <si>
    <t>Nếu người chạy nhập --staff, code override DEFAULT_STAFF. Nếu không nhập, dùng DEFAULT_STAFF.</t>
  </si>
  <si>
    <t>Required Excel column: start_minute</t>
  </si>
  <si>
    <t>Numeric minute of day</t>
  </si>
  <si>
    <t>Input file requirement</t>
  </si>
  <si>
    <t>Bắt buộc có. Ví dụ 0, 30, 60. Xác định điểm bắt đầu của lát demand.</t>
  </si>
  <si>
    <t>Required Excel column: end_minute</t>
  </si>
  <si>
    <t>Bắt buộc có. Ví dụ 30, 60, 90. Xác định điểm kết thúc của lát demand.</t>
  </si>
  <si>
    <t>Required demand value</t>
  </si>
  <si>
    <t>lambda_per_hour OR expected_arrivals_30min</t>
  </si>
  <si>
    <t>Code cần ít nhất một trong hai. Nếu có lambda_per_hour thì tính expected; nếu chỉ có expected thì tính ngược lambda.</t>
  </si>
  <si>
    <t>Arrival rate per hour by slice</t>
  </si>
  <si>
    <t>Input from demand generator / paper-based NHPP logic</t>
  </si>
  <si>
    <t>Đây là cường độ khách đến theo giờ tại từng lát. Exact value không nằm trong code này mà đến từ file arrival baseline.</t>
  </si>
  <si>
    <t>lambda_per_hour * 0.5</t>
  </si>
  <si>
    <t>Computed from input lambda</t>
  </si>
  <si>
    <t>Số khách kỳ vọng trong một lát 30 phút. Đây là mean của Poisson distribution cho lát đó.</t>
  </si>
  <si>
    <t>If lambda_per_hour missing</t>
  </si>
  <si>
    <t>lambda_per_hour = expected_arrivals_30min / 0.5</t>
  </si>
  <si>
    <t>Code tự tính lambda theo giờ nếu input chỉ có expected_arrivals_30min.</t>
  </si>
  <si>
    <t>scenario column</t>
  </si>
  <si>
    <t>Optional; default = scenario argument</t>
  </si>
  <si>
    <t>Input metadata / assumption if missing</t>
  </si>
  <si>
    <t>Nếu file không có scenario, code tự thêm scenario bằng giá trị command-line, mặc định Normal.</t>
  </si>
  <si>
    <t>day column</t>
  </si>
  <si>
    <t>Optional; default = 1</t>
  </si>
  <si>
    <t>Nếu file chỉ là 1 representative day, code gán day = 1 rồi có thể expand thành 28 ngày.</t>
  </si>
  <si>
    <t>slice_id column</t>
  </si>
  <si>
    <t>Optional; computed as start_minute // 30 + 1</t>
  </si>
  <si>
    <t>Input metadata or computed by code</t>
  </si>
  <si>
    <t>Định danh lát trong ngày từ 1 đến 48. Nếu thiếu, code tự tạo.</t>
  </si>
  <si>
    <t>slice_in_shift column</t>
  </si>
  <si>
    <t>Optional; computed by shift_from_minute()</t>
  </si>
  <si>
    <t>Định danh lát trong shift từ 1 đến 16. Nếu thiếu, code tự tạo theo start_minute.</t>
  </si>
  <si>
    <t>shift_id / source_shift_id</t>
  </si>
  <si>
    <t>Optional; source_shift_id keeps original shift_id if present</t>
  </si>
  <si>
    <t>Code bảo toàn shift_id gốc nếu file có; đồng thời tạo simpy_shift_id theo S1/S2/S3.</t>
  </si>
  <si>
    <t>simpy_shift_id</t>
  </si>
  <si>
    <t>S1, S2, S3</t>
  </si>
  <si>
    <t>Computed by code</t>
  </si>
  <si>
    <t>Shift code thân thiện cho SimPy, tính từ minute of day.</t>
  </si>
  <si>
    <t>demand_level</t>
  </si>
  <si>
    <t>Optional; default = Unknown</t>
  </si>
  <si>
    <t>Input metadata / demand classification assumption</t>
  </si>
  <si>
    <t>Low/Normal/Peak hoặc level tương tự. Nếu thiếu, code gán Unknown. Đây là metadata để trace workload theo demand level.</t>
  </si>
  <si>
    <t>raw_airport_demand_weight</t>
  </si>
  <si>
    <t>Optional; default = NaN</t>
  </si>
  <si>
    <t>Input from demand-shape generator, if available</t>
  </si>
  <si>
    <t>Trọng số demand gốc từ shape demand. Script này chỉ giữ lại để trace, không tự tạo weight.</t>
  </si>
  <si>
    <t>normalized_demand_weight</t>
  </si>
  <si>
    <t>Trọng số demand đã chuẩn hóa. Dùng để preserve metadata khi trace arrival/workload.</t>
  </si>
  <si>
    <t>Column aliases</t>
  </si>
  <si>
    <t>lambda→lambda_per_hour; expected_arrivals→expected_arrivals_30min; expected_arrivals_in_slice→expected_arrivals_30min; slice_id_day→slice_id; shift_slice→slice_in_shift</t>
  </si>
  <si>
    <t>Code robustness design</t>
  </si>
  <si>
    <t>Cho phép workbook từ các version generator khác nhau vẫn đọc được nếu tên cột hơi khác.</t>
  </si>
  <si>
    <t>Expand 1-day schedule</t>
  </si>
  <si>
    <t>Repeat base 48-slice pattern across simulation_days</t>
  </si>
  <si>
    <t>Scenario-based assumption</t>
  </si>
  <si>
    <t>Nếu input chỉ có 1 ngày, code nhân pattern đó thành 28 ngày. Đây là baseline scenario khi chưa có real daily calendar.</t>
  </si>
  <si>
    <t>daily_demand_factor</t>
  </si>
  <si>
    <t>1.0 if daily_demand_cv = 0; lognormal factor if CV &gt; 0</t>
  </si>
  <si>
    <t>Cho phép tạo dao động volume giữa các ngày nhưng vẫn giữ shape thời gian trong ngày.</t>
  </si>
  <si>
    <t>NHPP count generation</t>
  </si>
  <si>
    <t>actual_arrivals ~ Poisson(expected_arrivals_30min)</t>
  </si>
  <si>
    <t>Paper-based method: piecewise NHPP/Poisson</t>
  </si>
  <si>
    <t>Với mỗi lát 30 phút, số khách thực tế được random từ Poisson với mean bằng expected arrivals của lát đó.</t>
  </si>
  <si>
    <t>Poisson mean used</t>
  </si>
  <si>
    <t>poisson_mean_used = expected_arrivals_30min</t>
  </si>
  <si>
    <t>Computed from input demand</t>
  </si>
  <si>
    <t>Lưu lại mean đã dùng để random actual_arrivals, giúp kiểm tra expected vs actual.</t>
  </si>
  <si>
    <t>Arrival timestamp generation</t>
  </si>
  <si>
    <t>Uniform(start_abs, end_abs) within each slice</t>
  </si>
  <si>
    <t>Piecewise-constant NHPP implementation assumption</t>
  </si>
  <si>
    <t>Sau khi biết lát đó có N khách, code rải thời điểm đến ngẫu nhiên đều trong khoảng 30 phút của lát.</t>
  </si>
  <si>
    <t>entity_id</t>
  </si>
  <si>
    <t>R{replication}_C{customer_counter}</t>
  </si>
  <si>
    <t>Generated by code</t>
  </si>
  <si>
    <t>Mã duy nhất cho từng customer trong replication đã chọn.</t>
  </si>
  <si>
    <t>Customer metadata preserved</t>
  </si>
  <si>
    <t>source_slice_id, demand_level, lambda_per_hour, expected_arrivals_in_slice, normalized_demand_weight</t>
  </si>
  <si>
    <t>Code design / traceability requirement</t>
  </si>
  <si>
    <t>Mỗi customer mang theo nguồn demand ban đầu để workload cuối cùng có thể truy ngược về arrival slice.</t>
  </si>
  <si>
    <t>Best replication scoring</t>
  </si>
  <si>
    <t>selection_score = 0.30*total_error_pct + 0.30*daily_rmse_pct + 0.20*slice_shape_rmse + 0.10*shift_mix_rmse + 0.10*demand_level_mix_rmse</t>
  </si>
  <si>
    <t>Simulation selection assumption</t>
  </si>
  <si>
    <t>Chọn replication không chỉ gần tổng khách expected, mà còn giữ shape theo ngày, lát 30 phút, shift, và demand level.</t>
  </si>
  <si>
    <t>total_error_pct</t>
  </si>
  <si>
    <t>abs(total_actual - total_expected) / total_expected</t>
  </si>
  <si>
    <t>Computed metric</t>
  </si>
  <si>
    <t>Đo sai lệch tổng số khách của replication so với expected horizon.</t>
  </si>
  <si>
    <t>total_z_abs</t>
  </si>
  <si>
    <t>abs(total_actual - total_expected) / sqrt(total_expected)</t>
  </si>
  <si>
    <t>Computed metric using Poisson variance logic</t>
  </si>
  <si>
    <t>Với Poisson, variance xấp xỉ mean. Chỉ số này đo độ lệch tổng actual so với expected theo đơn vị độ lệch chuẩn.</t>
  </si>
  <si>
    <t>daily_rmse_pct</t>
  </si>
  <si>
    <t>RMSE(actual daily, expected daily) / mean expected daily</t>
  </si>
  <si>
    <t>Đo replication có giữ volume theo ngày hợp lý không.</t>
  </si>
  <si>
    <t>slice_shape_rmse</t>
  </si>
  <si>
    <t>RMSE(actual slice mix, expected slice mix)</t>
  </si>
  <si>
    <t>Đo replication có giữ đúng shape 48 lát trong ngày không.</t>
  </si>
  <si>
    <t>shift_mix_rmse</t>
  </si>
  <si>
    <t>RMSE(actual shift mix, expected shift mix)</t>
  </si>
  <si>
    <t>Đo replication có giữ tỷ trọng khách giữa các shift không.</t>
  </si>
  <si>
    <t>demand_level_mix_rmse</t>
  </si>
  <si>
    <t>RMSE(actual level mix, expected level mix)</t>
  </si>
  <si>
    <t>Đo replication có giữ tỷ trọng khách theo demand_level không.</t>
  </si>
  <si>
    <t>Occupancy resource</t>
  </si>
  <si>
    <t>simpy.Container(capacity=lounge_capacity, init=lounge_capacity)</t>
  </si>
  <si>
    <t>Operational capacity logic in code</t>
  </si>
  <si>
    <t>Mỗi khách vào lounge lấy 1 unit capacity; khi rời lounge trả lại 1 unit.</t>
  </si>
  <si>
    <t>RS process</t>
  </si>
  <si>
    <t>reception_checkin, service time = triangular(0.15, 0.25, 0.40) minutes</t>
  </si>
  <si>
    <t>Operational service-time assumption</t>
  </si>
  <si>
    <t>Thời gian check-in/reception cho mỗi customer. Cần calibrate bằng dữ liệu thực tế nếu có.</t>
  </si>
  <si>
    <t>BLO process</t>
  </si>
  <si>
    <t>buffet_service, service time = triangular(0.50, 0.75, 1.20) minutes</t>
  </si>
  <si>
    <t>Thời gian phục vụ/interaction ở buffet line cho mỗi customer.</t>
  </si>
  <si>
    <t>Customer dwell time</t>
  </si>
  <si>
    <t>min(180, triangular(45, 90, 180)) minutes</t>
  </si>
  <si>
    <t>Thời gian khách ở trong lounge. Code cap tối đa 180 phút.</t>
  </si>
  <si>
    <t>DAS process</t>
  </si>
  <si>
    <t>table_clear_reset, service time = triangular(2.0, 3.0, 4.0) minutes</t>
  </si>
  <si>
    <t>Thời gian clear/reset bàn sau khi khách rời.</t>
  </si>
  <si>
    <t>Stock max</t>
  </si>
  <si>
    <t>stock_max = 200</t>
  </si>
  <si>
    <t>Operational stock assumption</t>
  </si>
  <si>
    <t>Sức chứa stock buffet trong mô hình.</t>
  </si>
  <si>
    <t>Stock reorder point</t>
  </si>
  <si>
    <t>stock_reorder = 80</t>
  </si>
  <si>
    <t>Khi stock &lt;= 80 và refill chưa busy, code trigger SLS refill.</t>
  </si>
  <si>
    <t>Stock refill quantity</t>
  </si>
  <si>
    <t>stock_refill_qty = 220</t>
  </si>
  <si>
    <t>Số lượng cố gắng refill, nhưng thực tế bị giới hạn bởi room = stock_max - stock.level.</t>
  </si>
  <si>
    <t>SLS process</t>
  </si>
  <si>
    <t>buffet_refill_runner, service time = triangular(3.0, 4.5, 6.0) minutes</t>
  </si>
  <si>
    <t>Công việc refill buffet do SLS thực hiện khi stock thấp.</t>
  </si>
  <si>
    <t>Dirty dishes per customer</t>
  </si>
  <si>
    <t>max(1, Poisson(3.0))</t>
  </si>
  <si>
    <t>Operational consumption assumption</t>
  </si>
  <si>
    <t>Mỗi customer tạo trung bình khoảng 3 dirty dishes, tối thiểu 1.</t>
  </si>
  <si>
    <t>Dish batch size</t>
  </si>
  <si>
    <t>dish_batch_size = 80</t>
  </si>
  <si>
    <t>Operational batch assumption</t>
  </si>
  <si>
    <t>Khi dirty_dishes &gt;= 80 và dishwash chưa busy, code trigger DS batch.</t>
  </si>
  <si>
    <t>DS batch time</t>
  </si>
  <si>
    <t>pos_normal(4.99,1.14) + 6.0 + pos_normal(2.47,1.08) minutes</t>
  </si>
  <si>
    <t>Thời gian dishwashing gồm prewash + machine time + count/sort. Giá trị hiện là assumption trong code.</t>
  </si>
  <si>
    <t>FSTC check interval</t>
  </si>
  <si>
    <t>120 minutes</t>
  </si>
  <si>
    <t>Food-safety operation assumption</t>
  </si>
  <si>
    <t>Code chạy temperature_check định kỳ mỗi 120 phút trong horizon mô phỏng.</t>
  </si>
  <si>
    <t>FSTC service time</t>
  </si>
  <si>
    <t>temperature_check = triangular(2.0, 3.0, 5.0) minutes</t>
  </si>
  <si>
    <t>Thời gian mỗi lần kiểm tra nhiệt độ/thực phẩm.</t>
  </si>
  <si>
    <t>Run horizon buffer</t>
  </si>
  <si>
    <t>until_abs = horizon minutes + 240</t>
  </si>
  <si>
    <t>Chạy thêm 240 phút sau ngày cuối để khách đến gần 24:00 có thời gian hoàn thành dwell/service.</t>
  </si>
  <si>
    <t>Event log</t>
  </si>
  <si>
    <t>role, process, queue_start_abs, service_start_abs, service_end_abs, wait_minutes, service_minutes, kpi_wait_pass, source metadata</t>
  </si>
  <si>
    <t>Generated output</t>
  </si>
  <si>
    <t>Mỗi service event được log chi tiết để tính queue, workload, KPI và traceability.</t>
  </si>
  <si>
    <t>aggregate_workload()</t>
  </si>
  <si>
    <t>Split service workload across 30-minute service slices</t>
  </si>
  <si>
    <t>Computed output logic</t>
  </si>
  <si>
    <t>Nếu một service event vượt qua ranh giới lát, code chia workload đúng vào từng lát 30 phút.</t>
  </si>
  <si>
    <t>aggregate_workload_trace_by_source()</t>
  </si>
  <si>
    <t>Group workload by service slice + source demand slice</t>
  </si>
  <si>
    <t>Cho biết workload xảy ra lúc nào và đến từ khách của demand wave/source_slice_id nào.</t>
  </si>
  <si>
    <t>required_staff formula</t>
  </si>
  <si>
    <t>ceil(workload_minutes / (30 * target_utilization))</t>
  </si>
  <si>
    <t>Staffing calculation assumption</t>
  </si>
  <si>
    <t>Quy đổi workload phút trong 30 phút thành số nhân viên cần. Với target_utilization=0.85, một staff hiệu dụng 25.5 phút/lát.</t>
  </si>
  <si>
    <t>required_staff_with_min1</t>
  </si>
  <si>
    <t>max(MANDATORY_MIN[role], required_staff)</t>
  </si>
  <si>
    <t>Đảm bảo role bắt buộc không bị đề xuất 0 người khi workload thấp.</t>
  </si>
  <si>
    <t>Shift coverage aggregation</t>
  </si>
  <si>
    <t>Group 16 slices per shift and compute avg, P50, P75, P90, P95, max</t>
  </si>
  <si>
    <t>Computed staffing output</t>
  </si>
  <si>
    <t>Tạo min/target/max coverage bands cho từng role trong từng shift.</t>
  </si>
  <si>
    <t>target_coverage</t>
  </si>
  <si>
    <t>max(MANDATORY_MIN, P90 required)</t>
  </si>
  <si>
    <t>Staffing policy assumption</t>
  </si>
  <si>
    <t>Mức staffing đề xuất để cover phần lớn demand trong shift.</t>
  </si>
  <si>
    <t>max_coverage</t>
  </si>
  <si>
    <t>max(MANDATORY_MIN, P95 required, max required)</t>
  </si>
  <si>
    <t>Mức staffing cho peak hoặc worst-case trong shift.</t>
  </si>
  <si>
    <t>README_Workflow sheet</t>
  </si>
  <si>
    <t>Output sheet</t>
  </si>
  <si>
    <t>Tóm tắt workflow, tham số chạy, selected replication, input/output principle.</t>
  </si>
  <si>
    <t>Rep_Selection_Summary sheet</t>
  </si>
  <si>
    <t>Bảng xếp hạng replications theo realism score.</t>
  </si>
  <si>
    <t>BestRep_Daily_Demand sheet</t>
  </si>
  <si>
    <t>So sánh expected vs actual arrivals theo từng ngày trong selected replication.</t>
  </si>
  <si>
    <t>Arrival_By_Slice_28Days sheet</t>
  </si>
  <si>
    <t>Xem expected/actual arrivals theo từng lát 30 phút trong 28 ngày.</t>
  </si>
  <si>
    <t>Customer_Arrival_Events sheet</t>
  </si>
  <si>
    <t>Xem từng customer đến lúc nào và thuộc source slice nào.</t>
  </si>
  <si>
    <t>Required_Staff_30min sheet</t>
  </si>
  <si>
    <t>Nhân sự cần theo role theo từng lát 30 phút.</t>
  </si>
  <si>
    <t>Shift_Coverage_16Slices sheet</t>
  </si>
  <si>
    <t>Nhân sự đề xuất theo role theo từng shift 8 giờ.</t>
  </si>
  <si>
    <t>Raw CSV logs</t>
  </si>
  <si>
    <t>Input_Lambda_28Days, Demand_BestRep_NHPP, Arrival_Event_Log, Customer_Admission_Log, SimPy_Event_Log, Role_Workload_30min, Workload_Trace_By_Source</t>
  </si>
  <si>
    <t>Các log lớn được xuất riêng dạng CSV để tránh file Excel quá nặng.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</si>
</sst>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3" fillId="3" borderId="10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3" fillId="3" borderId="12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26</xdr:row>
      <xdr:rowOff>239229</xdr:rowOff>
    </xdr:from>
    <xdr:to>
      <xdr:col>7</xdr:col>
      <xdr:colOff>2595953</xdr:colOff>
      <xdr:row>35</xdr:row>
      <xdr:rowOff>40818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E745B-8BC9-F521-DA43-96228FC71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0640" y="6167589"/>
          <a:ext cx="4569533" cy="2773389"/>
        </a:xfrm>
        <a:prstGeom prst="rect">
          <a:avLst/>
        </a:prstGeom>
      </xdr:spPr>
    </xdr:pic>
    <xdr:clientData/>
  </xdr:twoCellAnchor>
  <xdr:twoCellAnchor editAs="oneCell">
    <xdr:from>
      <xdr:col>8</xdr:col>
      <xdr:colOff>548640</xdr:colOff>
      <xdr:row>26</xdr:row>
      <xdr:rowOff>328854</xdr:rowOff>
    </xdr:from>
    <xdr:to>
      <xdr:col>17</xdr:col>
      <xdr:colOff>319467</xdr:colOff>
      <xdr:row>34</xdr:row>
      <xdr:rowOff>343565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D4CA72-001C-9AFB-2857-0675FBB95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2840" y="6257214"/>
          <a:ext cx="5257227" cy="2620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opLeftCell="A3" workbookViewId="0">
      <selection activeCell="B6" sqref="B6"/>
    </sheetView>
  </sheetViews>
  <sheetFormatPr defaultRowHeight="14.4"/>
  <cols>
    <col min="3" max="3" width="14.44140625" customWidth="1"/>
    <col min="4" max="4" width="17.44140625" bestFit="1" customWidth="1"/>
  </cols>
  <sheetData>
    <row r="1" spans="1:4">
      <c r="C1" s="1" t="s">
        <v>1</v>
      </c>
      <c r="D1" s="1" t="s">
        <v>2</v>
      </c>
    </row>
    <row r="2" spans="1:4" ht="57.6" customHeight="1">
      <c r="A2" s="11" t="s">
        <v>85</v>
      </c>
      <c r="B2" s="8" t="s">
        <v>0</v>
      </c>
      <c r="C2" s="2" t="s">
        <v>3</v>
      </c>
      <c r="D2" s="3" t="s">
        <v>4</v>
      </c>
    </row>
    <row r="3" spans="1:4" ht="86.4" customHeight="1">
      <c r="A3" s="11"/>
      <c r="B3" s="8"/>
      <c r="C3" s="2" t="s">
        <v>5</v>
      </c>
      <c r="D3" s="3" t="s">
        <v>6</v>
      </c>
    </row>
    <row r="4" spans="1:4" ht="86.4" customHeight="1">
      <c r="A4" s="11"/>
      <c r="B4" s="8"/>
      <c r="C4" s="2" t="s">
        <v>7</v>
      </c>
      <c r="D4" s="3" t="s">
        <v>6</v>
      </c>
    </row>
    <row r="5" spans="1:4" ht="44.4">
      <c r="A5" s="11"/>
      <c r="B5" s="8"/>
      <c r="C5" s="2" t="s">
        <v>8</v>
      </c>
      <c r="D5" s="3" t="s">
        <v>9</v>
      </c>
    </row>
  </sheetData>
  <mergeCells count="2">
    <mergeCell ref="B2:B5"/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DD11-6523-4525-85FA-B45C0BF852A7}">
  <dimension ref="A1:L35"/>
  <sheetViews>
    <sheetView zoomScaleNormal="100" workbookViewId="0">
      <selection sqref="A1:XFD1"/>
    </sheetView>
  </sheetViews>
  <sheetFormatPr defaultRowHeight="14.4"/>
  <cols>
    <col min="1" max="1" width="14.88671875" customWidth="1"/>
    <col min="2" max="2" width="19.88671875" customWidth="1"/>
    <col min="3" max="3" width="17.33203125" customWidth="1"/>
    <col min="4" max="4" width="41.6640625" bestFit="1" customWidth="1"/>
    <col min="5" max="5" width="36.21875" customWidth="1"/>
    <col min="7" max="7" width="20.109375" customWidth="1"/>
    <col min="8" max="8" width="39.77734375" bestFit="1" customWidth="1"/>
  </cols>
  <sheetData>
    <row r="1" spans="1:12" ht="28.8">
      <c r="B1" s="12" t="s">
        <v>43</v>
      </c>
      <c r="C1" s="13" t="s">
        <v>44</v>
      </c>
      <c r="D1" s="12" t="s">
        <v>45</v>
      </c>
      <c r="E1" s="12" t="s">
        <v>46</v>
      </c>
      <c r="G1" s="12" t="s">
        <v>146</v>
      </c>
      <c r="H1" s="12" t="s">
        <v>147</v>
      </c>
    </row>
    <row r="2" spans="1:12" ht="15">
      <c r="A2" s="23" t="s">
        <v>91</v>
      </c>
      <c r="B2" s="14" t="s">
        <v>47</v>
      </c>
      <c r="C2" s="15">
        <v>24</v>
      </c>
      <c r="D2" s="16" t="s">
        <v>132</v>
      </c>
      <c r="E2" s="16" t="s">
        <v>48</v>
      </c>
      <c r="G2" s="14" t="s">
        <v>148</v>
      </c>
      <c r="H2" s="16" t="s">
        <v>149</v>
      </c>
    </row>
    <row r="3" spans="1:12" ht="28.8">
      <c r="A3" s="23"/>
      <c r="B3" s="14" t="s">
        <v>49</v>
      </c>
      <c r="C3" s="15">
        <v>30</v>
      </c>
      <c r="D3" s="16" t="s">
        <v>133</v>
      </c>
      <c r="E3" s="16" t="s">
        <v>50</v>
      </c>
      <c r="G3" s="14" t="s">
        <v>150</v>
      </c>
      <c r="H3" s="16" t="s">
        <v>151</v>
      </c>
    </row>
    <row r="4" spans="1:12" ht="28.8">
      <c r="A4" s="23"/>
      <c r="B4" s="14" t="s">
        <v>51</v>
      </c>
      <c r="C4" s="15">
        <v>0.5</v>
      </c>
      <c r="D4" s="16" t="s">
        <v>52</v>
      </c>
      <c r="E4" s="16" t="s">
        <v>53</v>
      </c>
      <c r="G4" s="14" t="s">
        <v>152</v>
      </c>
      <c r="H4" s="16" t="s">
        <v>153</v>
      </c>
    </row>
    <row r="5" spans="1:12" ht="15">
      <c r="A5" s="23"/>
      <c r="B5" s="14" t="s">
        <v>86</v>
      </c>
      <c r="C5" s="15" t="s">
        <v>87</v>
      </c>
      <c r="D5" s="16" t="s">
        <v>88</v>
      </c>
      <c r="E5" s="16" t="s">
        <v>89</v>
      </c>
      <c r="G5" s="14" t="s">
        <v>154</v>
      </c>
      <c r="H5" s="16" t="s">
        <v>155</v>
      </c>
    </row>
    <row r="6" spans="1:12" ht="15">
      <c r="A6" s="23"/>
      <c r="B6" s="14" t="s">
        <v>54</v>
      </c>
      <c r="C6" s="15">
        <v>48</v>
      </c>
      <c r="D6" s="16" t="s">
        <v>55</v>
      </c>
      <c r="E6" s="16" t="s">
        <v>56</v>
      </c>
      <c r="G6" s="14" t="s">
        <v>156</v>
      </c>
      <c r="H6" s="16" t="s">
        <v>157</v>
      </c>
    </row>
    <row r="7" spans="1:12" ht="15">
      <c r="A7" s="23"/>
      <c r="B7" s="14" t="s">
        <v>57</v>
      </c>
      <c r="C7" s="15" t="s">
        <v>58</v>
      </c>
      <c r="D7" s="16" t="s">
        <v>132</v>
      </c>
      <c r="E7" s="16" t="s">
        <v>11</v>
      </c>
    </row>
    <row r="8" spans="1:12" ht="15">
      <c r="A8" s="23"/>
      <c r="B8" s="14" t="s">
        <v>59</v>
      </c>
      <c r="C8" s="15">
        <v>16</v>
      </c>
      <c r="D8" s="16" t="s">
        <v>55</v>
      </c>
      <c r="E8" s="16" t="s">
        <v>60</v>
      </c>
    </row>
    <row r="9" spans="1:12" ht="30">
      <c r="A9" s="23" t="s">
        <v>92</v>
      </c>
      <c r="B9" s="14" t="s">
        <v>61</v>
      </c>
      <c r="C9" s="15">
        <v>900</v>
      </c>
      <c r="D9" s="17" t="s">
        <v>90</v>
      </c>
      <c r="E9" s="16" t="s">
        <v>63</v>
      </c>
      <c r="I9" s="1"/>
      <c r="J9" s="5"/>
      <c r="K9" s="1"/>
      <c r="L9" s="1"/>
    </row>
    <row r="10" spans="1:12" ht="28.8">
      <c r="A10" s="23"/>
      <c r="B10" s="16" t="s">
        <v>93</v>
      </c>
      <c r="C10" s="15">
        <v>600</v>
      </c>
      <c r="D10" s="16" t="s">
        <v>94</v>
      </c>
      <c r="E10" s="16" t="s">
        <v>63</v>
      </c>
    </row>
    <row r="11" spans="1:12" ht="28.8">
      <c r="A11" s="23"/>
      <c r="B11" s="16" t="s">
        <v>95</v>
      </c>
      <c r="C11" s="15">
        <v>900</v>
      </c>
      <c r="D11" s="16" t="s">
        <v>96</v>
      </c>
      <c r="E11" s="16" t="s">
        <v>63</v>
      </c>
    </row>
    <row r="12" spans="1:12" ht="28.8">
      <c r="A12" s="23"/>
      <c r="B12" s="21" t="s">
        <v>97</v>
      </c>
      <c r="C12" s="22">
        <v>1200</v>
      </c>
      <c r="D12" s="21" t="s">
        <v>98</v>
      </c>
      <c r="E12" s="21" t="s">
        <v>63</v>
      </c>
    </row>
    <row r="13" spans="1:12" ht="28.8">
      <c r="A13" s="23" t="s">
        <v>119</v>
      </c>
      <c r="B13" s="31" t="s">
        <v>65</v>
      </c>
      <c r="C13" s="22">
        <v>0.15</v>
      </c>
      <c r="D13" s="32" t="s">
        <v>62</v>
      </c>
      <c r="E13" s="21" t="s">
        <v>66</v>
      </c>
      <c r="G13" s="6"/>
      <c r="H13" s="4"/>
      <c r="I13" s="2"/>
      <c r="J13" s="2"/>
    </row>
    <row r="14" spans="1:12">
      <c r="A14" s="23"/>
      <c r="B14" s="28" t="s">
        <v>67</v>
      </c>
      <c r="C14" s="29">
        <v>7.5</v>
      </c>
      <c r="D14" s="30" t="s">
        <v>116</v>
      </c>
      <c r="E14" s="27" t="s">
        <v>68</v>
      </c>
      <c r="G14" s="2"/>
      <c r="H14" s="4"/>
      <c r="I14" s="2"/>
      <c r="J14" s="2"/>
    </row>
    <row r="15" spans="1:12">
      <c r="A15" s="23"/>
      <c r="B15" s="19" t="s">
        <v>100</v>
      </c>
      <c r="C15" s="20">
        <v>1.3</v>
      </c>
      <c r="D15" s="19" t="s">
        <v>101</v>
      </c>
      <c r="E15" s="18" t="s">
        <v>99</v>
      </c>
    </row>
    <row r="16" spans="1:12">
      <c r="A16" s="23"/>
      <c r="B16" s="19" t="s">
        <v>102</v>
      </c>
      <c r="C16" s="20">
        <v>1</v>
      </c>
      <c r="D16" s="19" t="s">
        <v>103</v>
      </c>
      <c r="E16" s="18" t="s">
        <v>99</v>
      </c>
    </row>
    <row r="17" spans="1:10">
      <c r="A17" s="23"/>
      <c r="B17" s="28" t="s">
        <v>69</v>
      </c>
      <c r="C17" s="29">
        <v>12</v>
      </c>
      <c r="D17" s="30" t="s">
        <v>117</v>
      </c>
      <c r="E17" s="27" t="s">
        <v>70</v>
      </c>
      <c r="G17" s="2"/>
      <c r="H17" s="4"/>
      <c r="I17" s="2"/>
      <c r="J17" s="2"/>
    </row>
    <row r="18" spans="1:10">
      <c r="A18" s="23"/>
      <c r="B18" s="19" t="s">
        <v>104</v>
      </c>
      <c r="C18" s="20">
        <v>1.6</v>
      </c>
      <c r="D18" s="19" t="s">
        <v>105</v>
      </c>
      <c r="E18" s="18" t="s">
        <v>99</v>
      </c>
      <c r="G18" s="2"/>
      <c r="H18" s="4"/>
      <c r="I18" s="2"/>
      <c r="J18" s="2"/>
    </row>
    <row r="19" spans="1:10">
      <c r="A19" s="23"/>
      <c r="B19" s="19" t="s">
        <v>106</v>
      </c>
      <c r="C19" s="20">
        <v>0.55000000000000004</v>
      </c>
      <c r="D19" s="19" t="s">
        <v>107</v>
      </c>
      <c r="E19" s="18" t="s">
        <v>99</v>
      </c>
    </row>
    <row r="20" spans="1:10">
      <c r="A20" s="23"/>
      <c r="B20" s="28" t="s">
        <v>71</v>
      </c>
      <c r="C20" s="29">
        <v>18.5</v>
      </c>
      <c r="D20" s="30" t="s">
        <v>118</v>
      </c>
      <c r="E20" s="27" t="s">
        <v>72</v>
      </c>
    </row>
    <row r="21" spans="1:10">
      <c r="A21" s="23"/>
      <c r="B21" s="19" t="s">
        <v>108</v>
      </c>
      <c r="C21" s="20">
        <v>1.8</v>
      </c>
      <c r="D21" s="19" t="s">
        <v>109</v>
      </c>
      <c r="E21" s="18" t="s">
        <v>99</v>
      </c>
    </row>
    <row r="22" spans="1:10">
      <c r="A22" s="23"/>
      <c r="B22" s="19" t="s">
        <v>110</v>
      </c>
      <c r="C22" s="20">
        <v>0.9</v>
      </c>
      <c r="D22" s="19" t="s">
        <v>111</v>
      </c>
      <c r="E22" s="18" t="s">
        <v>99</v>
      </c>
    </row>
    <row r="23" spans="1:10">
      <c r="A23" s="23"/>
      <c r="B23" s="28" t="s">
        <v>73</v>
      </c>
      <c r="C23" s="29">
        <v>22.5</v>
      </c>
      <c r="D23" s="30" t="s">
        <v>62</v>
      </c>
      <c r="E23" s="27" t="s">
        <v>74</v>
      </c>
    </row>
    <row r="24" spans="1:10">
      <c r="A24" s="23"/>
      <c r="B24" s="19" t="s">
        <v>112</v>
      </c>
      <c r="C24" s="20">
        <v>1.2</v>
      </c>
      <c r="D24" s="19" t="s">
        <v>113</v>
      </c>
      <c r="E24" s="18" t="s">
        <v>99</v>
      </c>
    </row>
    <row r="25" spans="1:10">
      <c r="A25" s="23"/>
      <c r="B25" s="24" t="s">
        <v>114</v>
      </c>
      <c r="C25" s="25">
        <v>0.4</v>
      </c>
      <c r="D25" s="24" t="s">
        <v>115</v>
      </c>
      <c r="E25" s="26" t="s">
        <v>99</v>
      </c>
    </row>
    <row r="26" spans="1:10" ht="15">
      <c r="A26" s="23" t="s">
        <v>120</v>
      </c>
      <c r="B26" s="14" t="s">
        <v>64</v>
      </c>
      <c r="C26" s="15">
        <v>42</v>
      </c>
      <c r="D26" s="16" t="s">
        <v>122</v>
      </c>
      <c r="E26" s="16" t="s">
        <v>121</v>
      </c>
    </row>
    <row r="27" spans="1:10" ht="30">
      <c r="A27" s="23"/>
      <c r="B27" s="14" t="s">
        <v>123</v>
      </c>
      <c r="C27" s="15" t="s">
        <v>124</v>
      </c>
      <c r="D27" s="16" t="s">
        <v>126</v>
      </c>
      <c r="E27" s="16" t="s">
        <v>125</v>
      </c>
    </row>
    <row r="28" spans="1:10" ht="15">
      <c r="A28" s="23"/>
      <c r="B28" s="14" t="s">
        <v>75</v>
      </c>
      <c r="C28" s="15" t="s">
        <v>127</v>
      </c>
      <c r="D28" s="16" t="s">
        <v>76</v>
      </c>
      <c r="E28" s="16" t="s">
        <v>77</v>
      </c>
    </row>
    <row r="29" spans="1:10" ht="15">
      <c r="A29" s="23"/>
      <c r="B29" s="14" t="s">
        <v>78</v>
      </c>
      <c r="C29" s="15" t="s">
        <v>79</v>
      </c>
      <c r="D29" s="16" t="s">
        <v>80</v>
      </c>
      <c r="E29" s="16" t="s">
        <v>128</v>
      </c>
    </row>
    <row r="30" spans="1:10" ht="28.8">
      <c r="A30" s="23"/>
      <c r="B30" s="14" t="s">
        <v>129</v>
      </c>
      <c r="C30" s="15" t="s">
        <v>130</v>
      </c>
      <c r="D30" s="16" t="s">
        <v>134</v>
      </c>
      <c r="E30" s="16" t="s">
        <v>131</v>
      </c>
    </row>
    <row r="31" spans="1:10" ht="28.8">
      <c r="A31" s="23"/>
      <c r="B31" s="16" t="s">
        <v>81</v>
      </c>
      <c r="C31" s="15" t="s">
        <v>82</v>
      </c>
      <c r="D31" s="16" t="s">
        <v>83</v>
      </c>
      <c r="E31" s="16" t="s">
        <v>84</v>
      </c>
    </row>
    <row r="32" spans="1:10" ht="30">
      <c r="A32" s="23" t="s">
        <v>135</v>
      </c>
      <c r="B32" s="16" t="s">
        <v>136</v>
      </c>
      <c r="C32" s="33" t="s">
        <v>137</v>
      </c>
      <c r="D32" s="34" t="s">
        <v>144</v>
      </c>
      <c r="E32" s="35" t="s">
        <v>145</v>
      </c>
    </row>
    <row r="33" spans="1:5" ht="28.8">
      <c r="A33" s="23"/>
      <c r="B33" s="16" t="s">
        <v>138</v>
      </c>
      <c r="C33" s="33" t="s">
        <v>139</v>
      </c>
      <c r="D33" s="34" t="s">
        <v>144</v>
      </c>
      <c r="E33" s="35"/>
    </row>
    <row r="34" spans="1:5" ht="28.8">
      <c r="A34" s="23"/>
      <c r="B34" s="16" t="s">
        <v>140</v>
      </c>
      <c r="C34" s="33" t="s">
        <v>141</v>
      </c>
      <c r="D34" s="34" t="s">
        <v>144</v>
      </c>
      <c r="E34" s="35"/>
    </row>
    <row r="35" spans="1:5" ht="28.8">
      <c r="A35" s="23"/>
      <c r="B35" s="16" t="s">
        <v>142</v>
      </c>
      <c r="C35" s="33" t="s">
        <v>143</v>
      </c>
      <c r="D35" s="34" t="s">
        <v>144</v>
      </c>
      <c r="E35" s="35"/>
    </row>
  </sheetData>
  <mergeCells count="6">
    <mergeCell ref="E32:E35"/>
    <mergeCell ref="A32:A35"/>
    <mergeCell ref="A2:A8"/>
    <mergeCell ref="A9:A12"/>
    <mergeCell ref="A13:A25"/>
    <mergeCell ref="A26:A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ACDC-B71D-465E-8810-3581E24891D4}">
  <dimension ref="A1:E89"/>
  <sheetViews>
    <sheetView tabSelected="1" topLeftCell="A32" workbookViewId="0">
      <selection activeCell="B38" sqref="B38"/>
    </sheetView>
  </sheetViews>
  <sheetFormatPr defaultRowHeight="14.4"/>
  <cols>
    <col min="1" max="1" width="36.77734375" customWidth="1"/>
    <col min="2" max="2" width="32.6640625" customWidth="1"/>
    <col min="3" max="3" width="43.109375" customWidth="1"/>
    <col min="4" max="4" width="44.33203125" customWidth="1"/>
    <col min="5" max="5" width="41.109375" customWidth="1"/>
  </cols>
  <sheetData>
    <row r="1" spans="1:5">
      <c r="A1" s="42" t="s">
        <v>158</v>
      </c>
      <c r="B1" s="42"/>
      <c r="C1" s="42"/>
      <c r="D1" s="42"/>
    </row>
    <row r="2" spans="1:5">
      <c r="B2" s="12" t="s">
        <v>43</v>
      </c>
      <c r="C2" s="13" t="s">
        <v>44</v>
      </c>
      <c r="D2" s="12" t="s">
        <v>45</v>
      </c>
      <c r="E2" s="12" t="s">
        <v>46</v>
      </c>
    </row>
    <row r="3" spans="1:5" ht="41.4">
      <c r="B3" s="39" t="s">
        <v>159</v>
      </c>
      <c r="C3" s="40" t="s">
        <v>160</v>
      </c>
      <c r="D3" s="40" t="s">
        <v>161</v>
      </c>
      <c r="E3" s="41" t="s">
        <v>162</v>
      </c>
    </row>
    <row r="4" spans="1:5" ht="55.2">
      <c r="B4" s="36" t="s">
        <v>163</v>
      </c>
      <c r="C4" s="37" t="s">
        <v>164</v>
      </c>
      <c r="D4" s="37" t="s">
        <v>165</v>
      </c>
      <c r="E4" s="38" t="s">
        <v>166</v>
      </c>
    </row>
    <row r="5" spans="1:5" ht="27.6">
      <c r="B5" s="39" t="s">
        <v>167</v>
      </c>
      <c r="C5" s="40" t="s">
        <v>168</v>
      </c>
      <c r="D5" s="40" t="s">
        <v>169</v>
      </c>
      <c r="E5" s="41" t="s">
        <v>170</v>
      </c>
    </row>
    <row r="6" spans="1:5" ht="41.4">
      <c r="B6" s="36" t="s">
        <v>171</v>
      </c>
      <c r="C6" s="37" t="s">
        <v>172</v>
      </c>
      <c r="D6" s="37" t="s">
        <v>173</v>
      </c>
      <c r="E6" s="38" t="s">
        <v>174</v>
      </c>
    </row>
    <row r="7" spans="1:5" ht="27.6">
      <c r="B7" s="39" t="s">
        <v>175</v>
      </c>
      <c r="C7" s="40" t="s">
        <v>176</v>
      </c>
      <c r="D7" s="40" t="s">
        <v>177</v>
      </c>
      <c r="E7" s="41" t="s">
        <v>178</v>
      </c>
    </row>
    <row r="8" spans="1:5" ht="27.6">
      <c r="B8" s="36" t="s">
        <v>179</v>
      </c>
      <c r="C8" s="37" t="s">
        <v>180</v>
      </c>
      <c r="D8" s="37" t="s">
        <v>173</v>
      </c>
      <c r="E8" s="38" t="s">
        <v>181</v>
      </c>
    </row>
    <row r="9" spans="1:5">
      <c r="B9" s="39" t="s">
        <v>182</v>
      </c>
      <c r="C9" s="40" t="s">
        <v>183</v>
      </c>
      <c r="D9" s="40" t="s">
        <v>173</v>
      </c>
      <c r="E9" s="41" t="s">
        <v>184</v>
      </c>
    </row>
    <row r="10" spans="1:5">
      <c r="B10" s="36" t="s">
        <v>185</v>
      </c>
      <c r="C10" s="37" t="s">
        <v>186</v>
      </c>
      <c r="D10" s="37" t="s">
        <v>187</v>
      </c>
      <c r="E10" s="38" t="s">
        <v>188</v>
      </c>
    </row>
    <row r="11" spans="1:5">
      <c r="B11" s="39" t="s">
        <v>189</v>
      </c>
      <c r="C11" s="40" t="s">
        <v>190</v>
      </c>
      <c r="D11" s="40" t="s">
        <v>187</v>
      </c>
      <c r="E11" s="41" t="s">
        <v>191</v>
      </c>
    </row>
    <row r="12" spans="1:5" ht="27.6">
      <c r="B12" s="36" t="s">
        <v>192</v>
      </c>
      <c r="C12" s="37" t="s">
        <v>193</v>
      </c>
      <c r="D12" s="37" t="s">
        <v>194</v>
      </c>
      <c r="E12" s="38" t="s">
        <v>195</v>
      </c>
    </row>
    <row r="13" spans="1:5" ht="69">
      <c r="B13" s="39" t="s">
        <v>196</v>
      </c>
      <c r="C13" s="40" t="s">
        <v>197</v>
      </c>
      <c r="D13" s="40" t="s">
        <v>198</v>
      </c>
      <c r="E13" s="41" t="s">
        <v>199</v>
      </c>
    </row>
    <row r="14" spans="1:5" ht="41.4">
      <c r="B14" s="36" t="s">
        <v>33</v>
      </c>
      <c r="C14" s="37" t="s">
        <v>200</v>
      </c>
      <c r="D14" s="37" t="s">
        <v>201</v>
      </c>
      <c r="E14" s="38" t="s">
        <v>202</v>
      </c>
    </row>
    <row r="15" spans="1:5" ht="41.4">
      <c r="B15" s="39" t="s">
        <v>42</v>
      </c>
      <c r="C15" s="40" t="s">
        <v>203</v>
      </c>
      <c r="D15" s="40" t="s">
        <v>204</v>
      </c>
      <c r="E15" s="41" t="s">
        <v>205</v>
      </c>
    </row>
    <row r="16" spans="1:5" ht="41.4">
      <c r="B16" s="36" t="s">
        <v>206</v>
      </c>
      <c r="C16" s="37" t="s">
        <v>207</v>
      </c>
      <c r="D16" s="37" t="s">
        <v>208</v>
      </c>
      <c r="E16" s="38" t="s">
        <v>209</v>
      </c>
    </row>
    <row r="17" spans="1:5" ht="27.6">
      <c r="B17" s="39" t="s">
        <v>210</v>
      </c>
      <c r="C17" s="40" t="s">
        <v>211</v>
      </c>
      <c r="D17" s="40" t="s">
        <v>212</v>
      </c>
      <c r="E17" s="41" t="s">
        <v>213</v>
      </c>
    </row>
    <row r="18" spans="1:5" ht="55.2">
      <c r="B18" s="36" t="s">
        <v>214</v>
      </c>
      <c r="C18" s="37" t="s">
        <v>150</v>
      </c>
      <c r="D18" s="37" t="s">
        <v>212</v>
      </c>
      <c r="E18" s="38" t="s">
        <v>215</v>
      </c>
    </row>
    <row r="19" spans="1:5" ht="41.4">
      <c r="A19" s="39" t="s">
        <v>216</v>
      </c>
      <c r="B19" s="40" t="s">
        <v>217</v>
      </c>
      <c r="C19" s="40" t="s">
        <v>218</v>
      </c>
      <c r="D19" s="41" t="s">
        <v>219</v>
      </c>
    </row>
    <row r="20" spans="1:5" ht="27.6">
      <c r="A20" s="36" t="s">
        <v>220</v>
      </c>
      <c r="B20" s="37" t="s">
        <v>221</v>
      </c>
      <c r="C20" s="37" t="s">
        <v>222</v>
      </c>
      <c r="D20" s="38" t="s">
        <v>223</v>
      </c>
    </row>
    <row r="21" spans="1:5" ht="27.6">
      <c r="A21" s="39" t="s">
        <v>224</v>
      </c>
      <c r="B21" s="40" t="s">
        <v>225</v>
      </c>
      <c r="C21" s="40" t="s">
        <v>226</v>
      </c>
      <c r="D21" s="41" t="s">
        <v>227</v>
      </c>
    </row>
    <row r="22" spans="1:5" ht="41.4">
      <c r="A22" s="36" t="s">
        <v>228</v>
      </c>
      <c r="B22" s="37" t="s">
        <v>229</v>
      </c>
      <c r="C22" s="37" t="s">
        <v>83</v>
      </c>
      <c r="D22" s="38" t="s">
        <v>230</v>
      </c>
    </row>
    <row r="23" spans="1:5" ht="27.6">
      <c r="A23" s="39" t="s">
        <v>231</v>
      </c>
      <c r="B23" s="40" t="s">
        <v>172</v>
      </c>
      <c r="C23" s="40" t="s">
        <v>232</v>
      </c>
      <c r="D23" s="41" t="s">
        <v>233</v>
      </c>
    </row>
    <row r="24" spans="1:5" ht="27.6">
      <c r="A24" s="36" t="s">
        <v>234</v>
      </c>
      <c r="B24" s="37" t="s">
        <v>235</v>
      </c>
      <c r="C24" s="37" t="s">
        <v>232</v>
      </c>
      <c r="D24" s="38" t="s">
        <v>236</v>
      </c>
    </row>
    <row r="25" spans="1:5" ht="41.4">
      <c r="A25" s="39" t="s">
        <v>237</v>
      </c>
      <c r="B25" s="40" t="s">
        <v>238</v>
      </c>
      <c r="C25" s="40" t="s">
        <v>239</v>
      </c>
      <c r="D25" s="41" t="s">
        <v>240</v>
      </c>
    </row>
    <row r="26" spans="1:5" ht="27.6">
      <c r="A26" s="36" t="s">
        <v>241</v>
      </c>
      <c r="B26" s="37" t="s">
        <v>242</v>
      </c>
      <c r="C26" s="37" t="s">
        <v>243</v>
      </c>
      <c r="D26" s="38" t="s">
        <v>244</v>
      </c>
    </row>
    <row r="27" spans="1:5" ht="41.4">
      <c r="A27" s="39" t="s">
        <v>245</v>
      </c>
      <c r="B27" s="40" t="s">
        <v>246</v>
      </c>
      <c r="C27" s="40" t="s">
        <v>247</v>
      </c>
      <c r="D27" s="41" t="s">
        <v>248</v>
      </c>
    </row>
    <row r="28" spans="1:5" ht="55.2">
      <c r="A28" s="36" t="s">
        <v>249</v>
      </c>
      <c r="B28" s="37" t="s">
        <v>250</v>
      </c>
      <c r="C28" s="37" t="s">
        <v>251</v>
      </c>
      <c r="D28" s="38" t="s">
        <v>252</v>
      </c>
    </row>
    <row r="29" spans="1:5" ht="27.6">
      <c r="A29" s="39" t="s">
        <v>253</v>
      </c>
      <c r="B29" s="40" t="s">
        <v>254</v>
      </c>
      <c r="C29" s="40" t="s">
        <v>255</v>
      </c>
      <c r="D29" s="41" t="s">
        <v>256</v>
      </c>
    </row>
    <row r="30" spans="1:5" ht="27.6">
      <c r="A30" s="36" t="s">
        <v>257</v>
      </c>
      <c r="B30" s="37" t="s">
        <v>254</v>
      </c>
      <c r="C30" s="37" t="s">
        <v>255</v>
      </c>
      <c r="D30" s="38" t="s">
        <v>258</v>
      </c>
    </row>
    <row r="31" spans="1:5" ht="41.4">
      <c r="A31" s="39" t="s">
        <v>259</v>
      </c>
      <c r="B31" s="40" t="s">
        <v>260</v>
      </c>
      <c r="C31" s="40" t="s">
        <v>255</v>
      </c>
      <c r="D31" s="41" t="s">
        <v>261</v>
      </c>
    </row>
    <row r="32" spans="1:5" ht="41.4">
      <c r="A32" s="36" t="s">
        <v>75</v>
      </c>
      <c r="B32" s="37" t="s">
        <v>262</v>
      </c>
      <c r="C32" s="37" t="s">
        <v>263</v>
      </c>
      <c r="D32" s="38" t="s">
        <v>264</v>
      </c>
    </row>
    <row r="33" spans="1:4" ht="27.6">
      <c r="A33" s="39" t="s">
        <v>123</v>
      </c>
      <c r="B33" s="40" t="s">
        <v>265</v>
      </c>
      <c r="C33" s="40" t="s">
        <v>266</v>
      </c>
      <c r="D33" s="41" t="s">
        <v>267</v>
      </c>
    </row>
    <row r="34" spans="1:4" ht="41.4">
      <c r="A34" s="36" t="s">
        <v>268</v>
      </c>
      <c r="B34" s="37" t="s">
        <v>269</v>
      </c>
      <c r="C34" s="37" t="s">
        <v>177</v>
      </c>
      <c r="D34" s="38" t="s">
        <v>270</v>
      </c>
    </row>
    <row r="35" spans="1:4" ht="41.4">
      <c r="A35" s="39" t="s">
        <v>271</v>
      </c>
      <c r="B35" s="40" t="s">
        <v>272</v>
      </c>
      <c r="C35" s="40" t="s">
        <v>273</v>
      </c>
      <c r="D35" s="41" t="s">
        <v>274</v>
      </c>
    </row>
    <row r="36" spans="1:4" ht="27.6">
      <c r="A36" s="36" t="s">
        <v>275</v>
      </c>
      <c r="B36" s="37" t="s">
        <v>276</v>
      </c>
      <c r="C36" s="37" t="s">
        <v>273</v>
      </c>
      <c r="D36" s="38" t="s">
        <v>277</v>
      </c>
    </row>
    <row r="37" spans="1:4" ht="41.4">
      <c r="A37" s="39" t="s">
        <v>278</v>
      </c>
      <c r="B37" s="40" t="s">
        <v>279</v>
      </c>
      <c r="C37" s="40" t="s">
        <v>280</v>
      </c>
      <c r="D37" s="41" t="s">
        <v>281</v>
      </c>
    </row>
    <row r="38" spans="1:4" ht="41.4">
      <c r="A38" s="36" t="s">
        <v>282</v>
      </c>
      <c r="B38" s="37" t="s">
        <v>283</v>
      </c>
      <c r="C38" s="37" t="s">
        <v>280</v>
      </c>
      <c r="D38" s="38" t="s">
        <v>284</v>
      </c>
    </row>
    <row r="39" spans="1:4" ht="55.2">
      <c r="A39" s="39" t="s">
        <v>285</v>
      </c>
      <c r="B39" s="40" t="s">
        <v>286</v>
      </c>
      <c r="C39" s="40" t="s">
        <v>280</v>
      </c>
      <c r="D39" s="41" t="s">
        <v>287</v>
      </c>
    </row>
    <row r="40" spans="1:4" ht="27.6">
      <c r="A40" s="36" t="s">
        <v>288</v>
      </c>
      <c r="B40" s="37" t="s">
        <v>289</v>
      </c>
      <c r="C40" s="37" t="s">
        <v>290</v>
      </c>
      <c r="D40" s="38" t="s">
        <v>291</v>
      </c>
    </row>
    <row r="41" spans="1:4" ht="41.4">
      <c r="A41" s="39" t="s">
        <v>292</v>
      </c>
      <c r="B41" s="40" t="s">
        <v>293</v>
      </c>
      <c r="C41" s="40" t="s">
        <v>294</v>
      </c>
      <c r="D41" s="41" t="s">
        <v>295</v>
      </c>
    </row>
    <row r="42" spans="1:4" ht="27.6">
      <c r="A42" s="36" t="s">
        <v>296</v>
      </c>
      <c r="B42" s="37" t="s">
        <v>297</v>
      </c>
      <c r="C42" s="37" t="s">
        <v>298</v>
      </c>
      <c r="D42" s="38" t="s">
        <v>299</v>
      </c>
    </row>
    <row r="43" spans="1:4" ht="27.6">
      <c r="A43" s="39" t="s">
        <v>300</v>
      </c>
      <c r="B43" s="40" t="s">
        <v>297</v>
      </c>
      <c r="C43" s="40" t="s">
        <v>298</v>
      </c>
      <c r="D43" s="41" t="s">
        <v>301</v>
      </c>
    </row>
    <row r="44" spans="1:4" ht="165.6">
      <c r="A44" s="36" t="s">
        <v>302</v>
      </c>
      <c r="B44" s="37" t="s">
        <v>303</v>
      </c>
      <c r="C44" s="37" t="s">
        <v>304</v>
      </c>
      <c r="D44" s="38" t="s">
        <v>305</v>
      </c>
    </row>
    <row r="45" spans="1:4" ht="41.4">
      <c r="A45" s="39" t="s">
        <v>306</v>
      </c>
      <c r="B45" s="40" t="s">
        <v>307</v>
      </c>
      <c r="C45" s="40" t="s">
        <v>308</v>
      </c>
      <c r="D45" s="41" t="s">
        <v>309</v>
      </c>
    </row>
    <row r="46" spans="1:4" ht="55.2">
      <c r="A46" s="36" t="s">
        <v>310</v>
      </c>
      <c r="B46" s="37" t="s">
        <v>311</v>
      </c>
      <c r="C46" s="37" t="s">
        <v>83</v>
      </c>
      <c r="D46" s="38" t="s">
        <v>312</v>
      </c>
    </row>
    <row r="47" spans="1:4" ht="41.4">
      <c r="A47" s="39" t="s">
        <v>313</v>
      </c>
      <c r="B47" s="40" t="s">
        <v>314</v>
      </c>
      <c r="C47" s="40" t="s">
        <v>315</v>
      </c>
      <c r="D47" s="41" t="s">
        <v>316</v>
      </c>
    </row>
    <row r="48" spans="1:4" ht="41.4">
      <c r="A48" s="36" t="s">
        <v>317</v>
      </c>
      <c r="B48" s="37" t="s">
        <v>318</v>
      </c>
      <c r="C48" s="37" t="s">
        <v>319</v>
      </c>
      <c r="D48" s="38" t="s">
        <v>320</v>
      </c>
    </row>
    <row r="49" spans="1:4" ht="41.4">
      <c r="A49" s="39" t="s">
        <v>321</v>
      </c>
      <c r="B49" s="40" t="s">
        <v>322</v>
      </c>
      <c r="C49" s="40" t="s">
        <v>323</v>
      </c>
      <c r="D49" s="41" t="s">
        <v>324</v>
      </c>
    </row>
    <row r="50" spans="1:4" ht="27.6">
      <c r="A50" s="36" t="s">
        <v>325</v>
      </c>
      <c r="B50" s="37" t="s">
        <v>326</v>
      </c>
      <c r="C50" s="37" t="s">
        <v>327</v>
      </c>
      <c r="D50" s="38" t="s">
        <v>328</v>
      </c>
    </row>
    <row r="51" spans="1:4" ht="55.2">
      <c r="A51" s="39" t="s">
        <v>329</v>
      </c>
      <c r="B51" s="40" t="s">
        <v>330</v>
      </c>
      <c r="C51" s="40" t="s">
        <v>331</v>
      </c>
      <c r="D51" s="41" t="s">
        <v>332</v>
      </c>
    </row>
    <row r="52" spans="1:4" ht="82.8">
      <c r="A52" s="36" t="s">
        <v>333</v>
      </c>
      <c r="B52" s="37" t="s">
        <v>334</v>
      </c>
      <c r="C52" s="37" t="s">
        <v>335</v>
      </c>
      <c r="D52" s="38" t="s">
        <v>336</v>
      </c>
    </row>
    <row r="53" spans="1:4" ht="27.6">
      <c r="A53" s="39" t="s">
        <v>337</v>
      </c>
      <c r="B53" s="40" t="s">
        <v>338</v>
      </c>
      <c r="C53" s="40" t="s">
        <v>339</v>
      </c>
      <c r="D53" s="41" t="s">
        <v>340</v>
      </c>
    </row>
    <row r="54" spans="1:4" ht="41.4">
      <c r="A54" s="36" t="s">
        <v>341</v>
      </c>
      <c r="B54" s="37" t="s">
        <v>342</v>
      </c>
      <c r="C54" s="37" t="s">
        <v>343</v>
      </c>
      <c r="D54" s="38" t="s">
        <v>344</v>
      </c>
    </row>
    <row r="55" spans="1:4" ht="27.6">
      <c r="A55" s="39" t="s">
        <v>345</v>
      </c>
      <c r="B55" s="40" t="s">
        <v>346</v>
      </c>
      <c r="C55" s="40" t="s">
        <v>339</v>
      </c>
      <c r="D55" s="41" t="s">
        <v>347</v>
      </c>
    </row>
    <row r="56" spans="1:4" ht="27.6">
      <c r="A56" s="36" t="s">
        <v>348</v>
      </c>
      <c r="B56" s="37" t="s">
        <v>349</v>
      </c>
      <c r="C56" s="37" t="s">
        <v>339</v>
      </c>
      <c r="D56" s="38" t="s">
        <v>350</v>
      </c>
    </row>
    <row r="57" spans="1:4" ht="27.6">
      <c r="A57" s="39" t="s">
        <v>351</v>
      </c>
      <c r="B57" s="40" t="s">
        <v>352</v>
      </c>
      <c r="C57" s="40" t="s">
        <v>339</v>
      </c>
      <c r="D57" s="41" t="s">
        <v>353</v>
      </c>
    </row>
    <row r="58" spans="1:4" ht="27.6">
      <c r="A58" s="36" t="s">
        <v>354</v>
      </c>
      <c r="B58" s="37" t="s">
        <v>355</v>
      </c>
      <c r="C58" s="37" t="s">
        <v>339</v>
      </c>
      <c r="D58" s="38" t="s">
        <v>356</v>
      </c>
    </row>
    <row r="59" spans="1:4" ht="27.6">
      <c r="A59" s="39" t="s">
        <v>357</v>
      </c>
      <c r="B59" s="40" t="s">
        <v>358</v>
      </c>
      <c r="C59" s="40" t="s">
        <v>359</v>
      </c>
      <c r="D59" s="41" t="s">
        <v>360</v>
      </c>
    </row>
    <row r="60" spans="1:4" ht="27.6">
      <c r="A60" s="36" t="s">
        <v>361</v>
      </c>
      <c r="B60" s="37" t="s">
        <v>362</v>
      </c>
      <c r="C60" s="37" t="s">
        <v>363</v>
      </c>
      <c r="D60" s="38" t="s">
        <v>364</v>
      </c>
    </row>
    <row r="61" spans="1:4" ht="27.6">
      <c r="A61" s="39" t="s">
        <v>365</v>
      </c>
      <c r="B61" s="40" t="s">
        <v>366</v>
      </c>
      <c r="C61" s="40" t="s">
        <v>363</v>
      </c>
      <c r="D61" s="41" t="s">
        <v>367</v>
      </c>
    </row>
    <row r="62" spans="1:4" ht="27.6">
      <c r="A62" s="36" t="s">
        <v>368</v>
      </c>
      <c r="B62" s="37" t="s">
        <v>369</v>
      </c>
      <c r="C62" s="37" t="s">
        <v>243</v>
      </c>
      <c r="D62" s="38" t="s">
        <v>370</v>
      </c>
    </row>
    <row r="63" spans="1:4" ht="27.6">
      <c r="A63" s="39" t="s">
        <v>371</v>
      </c>
      <c r="B63" s="40" t="s">
        <v>372</v>
      </c>
      <c r="C63" s="40" t="s">
        <v>363</v>
      </c>
      <c r="D63" s="41" t="s">
        <v>373</v>
      </c>
    </row>
    <row r="64" spans="1:4">
      <c r="A64" s="36" t="s">
        <v>374</v>
      </c>
      <c r="B64" s="37" t="s">
        <v>375</v>
      </c>
      <c r="C64" s="37" t="s">
        <v>376</v>
      </c>
      <c r="D64" s="38" t="s">
        <v>377</v>
      </c>
    </row>
    <row r="65" spans="1:4" ht="27.6">
      <c r="A65" s="39" t="s">
        <v>378</v>
      </c>
      <c r="B65" s="40" t="s">
        <v>379</v>
      </c>
      <c r="C65" s="40" t="s">
        <v>376</v>
      </c>
      <c r="D65" s="41" t="s">
        <v>380</v>
      </c>
    </row>
    <row r="66" spans="1:4" ht="27.6">
      <c r="A66" s="36" t="s">
        <v>381</v>
      </c>
      <c r="B66" s="37" t="s">
        <v>382</v>
      </c>
      <c r="C66" s="37" t="s">
        <v>376</v>
      </c>
      <c r="D66" s="38" t="s">
        <v>383</v>
      </c>
    </row>
    <row r="67" spans="1:4" ht="124.2">
      <c r="A67" s="39" t="s">
        <v>384</v>
      </c>
      <c r="B67" s="40" t="s">
        <v>385</v>
      </c>
      <c r="C67" s="40" t="s">
        <v>363</v>
      </c>
      <c r="D67" s="41" t="s">
        <v>386</v>
      </c>
    </row>
    <row r="68" spans="1:4" ht="27.6">
      <c r="A68" s="36" t="s">
        <v>387</v>
      </c>
      <c r="B68" s="37" t="s">
        <v>388</v>
      </c>
      <c r="C68" s="37" t="s">
        <v>389</v>
      </c>
      <c r="D68" s="38" t="s">
        <v>390</v>
      </c>
    </row>
    <row r="69" spans="1:4" ht="27.6">
      <c r="A69" s="39" t="s">
        <v>391</v>
      </c>
      <c r="B69" s="40" t="s">
        <v>392</v>
      </c>
      <c r="C69" s="40" t="s">
        <v>393</v>
      </c>
      <c r="D69" s="41" t="s">
        <v>394</v>
      </c>
    </row>
    <row r="70" spans="1:4" ht="41.4">
      <c r="A70" s="36" t="s">
        <v>395</v>
      </c>
      <c r="B70" s="37" t="s">
        <v>396</v>
      </c>
      <c r="C70" s="37" t="s">
        <v>363</v>
      </c>
      <c r="D70" s="38" t="s">
        <v>397</v>
      </c>
    </row>
    <row r="71" spans="1:4" ht="27.6">
      <c r="A71" s="39" t="s">
        <v>398</v>
      </c>
      <c r="B71" s="40" t="s">
        <v>399</v>
      </c>
      <c r="C71" s="40" t="s">
        <v>400</v>
      </c>
      <c r="D71" s="41" t="s">
        <v>401</v>
      </c>
    </row>
    <row r="72" spans="1:4" ht="27.6">
      <c r="A72" s="36" t="s">
        <v>402</v>
      </c>
      <c r="B72" s="37" t="s">
        <v>403</v>
      </c>
      <c r="C72" s="37" t="s">
        <v>363</v>
      </c>
      <c r="D72" s="38" t="s">
        <v>404</v>
      </c>
    </row>
    <row r="73" spans="1:4" ht="41.4">
      <c r="A73" s="39" t="s">
        <v>405</v>
      </c>
      <c r="B73" s="40" t="s">
        <v>406</v>
      </c>
      <c r="C73" s="40" t="s">
        <v>226</v>
      </c>
      <c r="D73" s="41" t="s">
        <v>407</v>
      </c>
    </row>
    <row r="74" spans="1:4" ht="69">
      <c r="A74" s="36" t="s">
        <v>408</v>
      </c>
      <c r="B74" s="37" t="s">
        <v>409</v>
      </c>
      <c r="C74" s="37" t="s">
        <v>410</v>
      </c>
      <c r="D74" s="38" t="s">
        <v>411</v>
      </c>
    </row>
    <row r="75" spans="1:4" ht="27.6">
      <c r="A75" s="39" t="s">
        <v>412</v>
      </c>
      <c r="B75" s="40" t="s">
        <v>413</v>
      </c>
      <c r="C75" s="40" t="s">
        <v>414</v>
      </c>
      <c r="D75" s="41" t="s">
        <v>415</v>
      </c>
    </row>
    <row r="76" spans="1:4" ht="27.6">
      <c r="A76" s="36" t="s">
        <v>416</v>
      </c>
      <c r="B76" s="37" t="s">
        <v>417</v>
      </c>
      <c r="C76" s="37" t="s">
        <v>414</v>
      </c>
      <c r="D76" s="38" t="s">
        <v>418</v>
      </c>
    </row>
    <row r="77" spans="1:4" ht="41.4">
      <c r="A77" s="39" t="s">
        <v>419</v>
      </c>
      <c r="B77" s="40" t="s">
        <v>420</v>
      </c>
      <c r="C77" s="40" t="s">
        <v>421</v>
      </c>
      <c r="D77" s="41" t="s">
        <v>422</v>
      </c>
    </row>
    <row r="78" spans="1:4" ht="124.2">
      <c r="A78" s="36" t="s">
        <v>423</v>
      </c>
      <c r="B78" s="37" t="s">
        <v>424</v>
      </c>
      <c r="C78" s="37" t="s">
        <v>204</v>
      </c>
      <c r="D78" s="38" t="s">
        <v>425</v>
      </c>
    </row>
    <row r="79" spans="1:4" ht="41.4">
      <c r="A79" s="39" t="s">
        <v>426</v>
      </c>
      <c r="B79" s="40" t="s">
        <v>427</v>
      </c>
      <c r="C79" s="40" t="s">
        <v>428</v>
      </c>
      <c r="D79" s="41" t="s">
        <v>429</v>
      </c>
    </row>
    <row r="80" spans="1:4" ht="27.6">
      <c r="A80" s="36" t="s">
        <v>430</v>
      </c>
      <c r="B80" s="37" t="s">
        <v>431</v>
      </c>
      <c r="C80" s="37" t="s">
        <v>432</v>
      </c>
      <c r="D80" s="38" t="s">
        <v>433</v>
      </c>
    </row>
    <row r="81" spans="1:4" ht="27.6">
      <c r="A81" s="39" t="s">
        <v>434</v>
      </c>
      <c r="B81" s="40" t="s">
        <v>435</v>
      </c>
      <c r="C81" s="40" t="s">
        <v>432</v>
      </c>
      <c r="D81" s="41" t="s">
        <v>436</v>
      </c>
    </row>
    <row r="82" spans="1:4" ht="27.6">
      <c r="A82" s="36" t="s">
        <v>437</v>
      </c>
      <c r="B82" s="37" t="s">
        <v>438</v>
      </c>
      <c r="C82" s="37" t="s">
        <v>410</v>
      </c>
      <c r="D82" s="38" t="s">
        <v>439</v>
      </c>
    </row>
    <row r="83" spans="1:4">
      <c r="A83" s="39" t="s">
        <v>440</v>
      </c>
      <c r="B83" s="40" t="s">
        <v>438</v>
      </c>
      <c r="C83" s="40" t="s">
        <v>410</v>
      </c>
      <c r="D83" s="41" t="s">
        <v>441</v>
      </c>
    </row>
    <row r="84" spans="1:4" ht="27.6">
      <c r="A84" s="36" t="s">
        <v>442</v>
      </c>
      <c r="B84" s="37" t="s">
        <v>438</v>
      </c>
      <c r="C84" s="37" t="s">
        <v>410</v>
      </c>
      <c r="D84" s="38" t="s">
        <v>443</v>
      </c>
    </row>
    <row r="85" spans="1:4" ht="27.6">
      <c r="A85" s="39" t="s">
        <v>444</v>
      </c>
      <c r="B85" s="40" t="s">
        <v>438</v>
      </c>
      <c r="C85" s="40" t="s">
        <v>410</v>
      </c>
      <c r="D85" s="41" t="s">
        <v>445</v>
      </c>
    </row>
    <row r="86" spans="1:4" ht="27.6">
      <c r="A86" s="36" t="s">
        <v>446</v>
      </c>
      <c r="B86" s="37" t="s">
        <v>438</v>
      </c>
      <c r="C86" s="37" t="s">
        <v>410</v>
      </c>
      <c r="D86" s="38" t="s">
        <v>447</v>
      </c>
    </row>
    <row r="87" spans="1:4">
      <c r="A87" s="39" t="s">
        <v>448</v>
      </c>
      <c r="B87" s="40" t="s">
        <v>438</v>
      </c>
      <c r="C87" s="40" t="s">
        <v>410</v>
      </c>
      <c r="D87" s="41" t="s">
        <v>449</v>
      </c>
    </row>
    <row r="88" spans="1:4">
      <c r="A88" s="36" t="s">
        <v>450</v>
      </c>
      <c r="B88" s="37" t="s">
        <v>438</v>
      </c>
      <c r="C88" s="37" t="s">
        <v>410</v>
      </c>
      <c r="D88" s="38" t="s">
        <v>451</v>
      </c>
    </row>
    <row r="89" spans="1:4" ht="55.2">
      <c r="A89" s="39" t="s">
        <v>452</v>
      </c>
      <c r="B89" s="40" t="s">
        <v>453</v>
      </c>
      <c r="C89" s="40" t="s">
        <v>410</v>
      </c>
      <c r="D89" s="41" t="s">
        <v>454</v>
      </c>
    </row>
  </sheetData>
  <mergeCells count="1">
    <mergeCell ref="A1:D1"/>
  </mergeCells>
  <conditionalFormatting sqref="C19:C89 D3:D18">
    <cfRule type="expression" dxfId="5" priority="1">
      <formula>ISNUMBER(SEARCH("Assumption",C3))</formula>
    </cfRule>
    <cfRule type="expression" dxfId="4" priority="2">
      <formula>ISNUMBER(SEARCH("Paper",C3))</formula>
    </cfRule>
    <cfRule type="expression" dxfId="3" priority="3">
      <formula>ISNUMBER(SEARCH("Generated",C3))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5008-73C3-4EF2-B7BB-B28A053754E2}">
  <dimension ref="A1:D12"/>
  <sheetViews>
    <sheetView workbookViewId="0">
      <selection sqref="A1:D12"/>
    </sheetView>
  </sheetViews>
  <sheetFormatPr defaultRowHeight="14.4"/>
  <sheetData>
    <row r="1" spans="1:4" ht="262.2">
      <c r="A1" s="36" t="s">
        <v>408</v>
      </c>
      <c r="B1" s="37" t="s">
        <v>409</v>
      </c>
      <c r="C1" s="37" t="s">
        <v>410</v>
      </c>
      <c r="D1" s="38" t="s">
        <v>411</v>
      </c>
    </row>
    <row r="2" spans="1:4" ht="179.4">
      <c r="A2" s="39" t="s">
        <v>412</v>
      </c>
      <c r="B2" s="40" t="s">
        <v>413</v>
      </c>
      <c r="C2" s="40" t="s">
        <v>414</v>
      </c>
      <c r="D2" s="41" t="s">
        <v>415</v>
      </c>
    </row>
    <row r="3" spans="1:4" ht="165.6">
      <c r="A3" s="36" t="s">
        <v>416</v>
      </c>
      <c r="B3" s="37" t="s">
        <v>417</v>
      </c>
      <c r="C3" s="37" t="s">
        <v>414</v>
      </c>
      <c r="D3" s="38" t="s">
        <v>418</v>
      </c>
    </row>
    <row r="4" spans="1:4" ht="151.80000000000001">
      <c r="A4" s="39" t="s">
        <v>426</v>
      </c>
      <c r="B4" s="40" t="s">
        <v>427</v>
      </c>
      <c r="C4" s="40" t="s">
        <v>428</v>
      </c>
      <c r="D4" s="41" t="s">
        <v>429</v>
      </c>
    </row>
    <row r="5" spans="1:4" ht="151.80000000000001">
      <c r="A5" s="36" t="s">
        <v>437</v>
      </c>
      <c r="B5" s="37" t="s">
        <v>438</v>
      </c>
      <c r="C5" s="37" t="s">
        <v>410</v>
      </c>
      <c r="D5" s="38" t="s">
        <v>439</v>
      </c>
    </row>
    <row r="6" spans="1:4" ht="96.6">
      <c r="A6" s="39" t="s">
        <v>440</v>
      </c>
      <c r="B6" s="40" t="s">
        <v>438</v>
      </c>
      <c r="C6" s="40" t="s">
        <v>410</v>
      </c>
      <c r="D6" s="41" t="s">
        <v>441</v>
      </c>
    </row>
    <row r="7" spans="1:4" ht="165.6">
      <c r="A7" s="36" t="s">
        <v>442</v>
      </c>
      <c r="B7" s="37" t="s">
        <v>438</v>
      </c>
      <c r="C7" s="37" t="s">
        <v>410</v>
      </c>
      <c r="D7" s="38" t="s">
        <v>443</v>
      </c>
    </row>
    <row r="8" spans="1:4" ht="124.2">
      <c r="A8" s="39" t="s">
        <v>444</v>
      </c>
      <c r="B8" s="40" t="s">
        <v>438</v>
      </c>
      <c r="C8" s="40" t="s">
        <v>410</v>
      </c>
      <c r="D8" s="41" t="s">
        <v>445</v>
      </c>
    </row>
    <row r="9" spans="1:4" ht="124.2">
      <c r="A9" s="36" t="s">
        <v>446</v>
      </c>
      <c r="B9" s="37" t="s">
        <v>438</v>
      </c>
      <c r="C9" s="37" t="s">
        <v>410</v>
      </c>
      <c r="D9" s="38" t="s">
        <v>447</v>
      </c>
    </row>
    <row r="10" spans="1:4" ht="69">
      <c r="A10" s="39" t="s">
        <v>448</v>
      </c>
      <c r="B10" s="40" t="s">
        <v>438</v>
      </c>
      <c r="C10" s="40" t="s">
        <v>410</v>
      </c>
      <c r="D10" s="41" t="s">
        <v>449</v>
      </c>
    </row>
    <row r="11" spans="1:4" ht="96.6">
      <c r="A11" s="36" t="s">
        <v>450</v>
      </c>
      <c r="B11" s="37" t="s">
        <v>438</v>
      </c>
      <c r="C11" s="37" t="s">
        <v>410</v>
      </c>
      <c r="D11" s="38" t="s">
        <v>451</v>
      </c>
    </row>
    <row r="12" spans="1:4" ht="331.2">
      <c r="A12" s="39" t="s">
        <v>452</v>
      </c>
      <c r="B12" s="40" t="s">
        <v>453</v>
      </c>
      <c r="C12" s="40" t="s">
        <v>410</v>
      </c>
      <c r="D12" s="41" t="s">
        <v>454</v>
      </c>
    </row>
  </sheetData>
  <conditionalFormatting sqref="C1:C12">
    <cfRule type="expression" dxfId="2" priority="1">
      <formula>ISNUMBER(SEARCH("Assumption",C1))</formula>
    </cfRule>
    <cfRule type="expression" dxfId="1" priority="2">
      <formula>ISNUMBER(SEARCH("Paper",C1))</formula>
    </cfRule>
    <cfRule type="expression" dxfId="0" priority="3">
      <formula>ISNUMBER(SEARCH("Generated",C1))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3DCA-520D-4800-BAAD-E4CB01C12BFE}">
  <dimension ref="A1:C24"/>
  <sheetViews>
    <sheetView topLeftCell="A6" workbookViewId="0">
      <selection activeCell="C22" sqref="C22"/>
    </sheetView>
  </sheetViews>
  <sheetFormatPr defaultRowHeight="14.4"/>
  <cols>
    <col min="2" max="2" width="22.44140625" customWidth="1"/>
    <col min="3" max="3" width="35.5546875" customWidth="1"/>
  </cols>
  <sheetData>
    <row r="1" spans="1:3">
      <c r="A1" s="1" t="s">
        <v>12</v>
      </c>
      <c r="B1" s="1" t="s">
        <v>13</v>
      </c>
      <c r="C1" s="1" t="s">
        <v>14</v>
      </c>
    </row>
    <row r="2" spans="1:3" ht="15">
      <c r="A2" s="6" t="s">
        <v>15</v>
      </c>
      <c r="B2" s="2" t="s">
        <v>16</v>
      </c>
      <c r="C2" s="2" t="s">
        <v>17</v>
      </c>
    </row>
    <row r="3" spans="1:3" ht="15">
      <c r="A3" s="6" t="s">
        <v>18</v>
      </c>
      <c r="B3" s="2" t="s">
        <v>19</v>
      </c>
      <c r="C3" s="2" t="s">
        <v>20</v>
      </c>
    </row>
    <row r="4" spans="1:3" ht="28.8">
      <c r="A4" s="6" t="s">
        <v>21</v>
      </c>
      <c r="B4" s="2" t="s">
        <v>22</v>
      </c>
      <c r="C4" s="2" t="s">
        <v>23</v>
      </c>
    </row>
    <row r="5" spans="1:3" ht="28.8">
      <c r="A5" s="6" t="s">
        <v>24</v>
      </c>
      <c r="B5" s="2" t="s">
        <v>25</v>
      </c>
      <c r="C5" s="2" t="s">
        <v>26</v>
      </c>
    </row>
    <row r="6" spans="1:3" ht="15">
      <c r="A6" s="6" t="s">
        <v>27</v>
      </c>
      <c r="B6" s="2" t="s">
        <v>28</v>
      </c>
      <c r="C6" s="2" t="s">
        <v>29</v>
      </c>
    </row>
    <row r="7" spans="1:3" ht="15">
      <c r="A7" s="6" t="s">
        <v>30</v>
      </c>
      <c r="B7" s="2" t="s">
        <v>31</v>
      </c>
      <c r="C7" s="2" t="s">
        <v>32</v>
      </c>
    </row>
    <row r="9" spans="1:3" s="9" customFormat="1">
      <c r="A9" s="9" t="s">
        <v>40</v>
      </c>
    </row>
    <row r="10" spans="1:3">
      <c r="A10" s="7" t="s">
        <v>12</v>
      </c>
      <c r="B10" s="7" t="s">
        <v>33</v>
      </c>
      <c r="C10" s="7" t="s">
        <v>10</v>
      </c>
    </row>
    <row r="11" spans="1:3" ht="15">
      <c r="A11" s="6" t="s">
        <v>15</v>
      </c>
      <c r="B11" s="4">
        <v>2</v>
      </c>
      <c r="C11" s="2" t="s">
        <v>34</v>
      </c>
    </row>
    <row r="12" spans="1:3" ht="15">
      <c r="A12" s="6" t="s">
        <v>18</v>
      </c>
      <c r="B12" s="4">
        <v>10</v>
      </c>
      <c r="C12" s="2" t="s">
        <v>35</v>
      </c>
    </row>
    <row r="13" spans="1:3" ht="15">
      <c r="A13" s="6" t="s">
        <v>21</v>
      </c>
      <c r="B13" s="4">
        <v>6</v>
      </c>
      <c r="C13" s="2" t="s">
        <v>36</v>
      </c>
    </row>
    <row r="14" spans="1:3" ht="15">
      <c r="A14" s="6" t="s">
        <v>24</v>
      </c>
      <c r="B14" s="4">
        <v>2</v>
      </c>
      <c r="C14" s="2" t="s">
        <v>37</v>
      </c>
    </row>
    <row r="15" spans="1:3" ht="15">
      <c r="A15" s="6" t="s">
        <v>27</v>
      </c>
      <c r="B15" s="4">
        <v>2</v>
      </c>
      <c r="C15" s="2" t="s">
        <v>38</v>
      </c>
    </row>
    <row r="16" spans="1:3" ht="15">
      <c r="A16" s="6" t="s">
        <v>30</v>
      </c>
      <c r="B16" s="4">
        <v>2</v>
      </c>
      <c r="C16" s="2" t="s">
        <v>39</v>
      </c>
    </row>
    <row r="17" spans="1:2" s="10" customFormat="1" ht="15">
      <c r="A17" s="10" t="s">
        <v>41</v>
      </c>
    </row>
    <row r="18" spans="1:2">
      <c r="A18" s="7" t="s">
        <v>12</v>
      </c>
      <c r="B18" s="7" t="s">
        <v>42</v>
      </c>
    </row>
    <row r="19" spans="1:2">
      <c r="A19" s="2" t="s">
        <v>15</v>
      </c>
      <c r="B19" s="4">
        <v>1</v>
      </c>
    </row>
    <row r="20" spans="1:2">
      <c r="A20" s="2" t="s">
        <v>18</v>
      </c>
      <c r="B20" s="4">
        <v>1</v>
      </c>
    </row>
    <row r="21" spans="1:2">
      <c r="A21" s="2" t="s">
        <v>21</v>
      </c>
      <c r="B21" s="4">
        <v>1</v>
      </c>
    </row>
    <row r="22" spans="1:2">
      <c r="A22" s="2" t="s">
        <v>24</v>
      </c>
      <c r="B22" s="4">
        <v>1</v>
      </c>
    </row>
    <row r="23" spans="1:2">
      <c r="A23" s="2" t="s">
        <v>27</v>
      </c>
      <c r="B23" s="4">
        <v>1</v>
      </c>
    </row>
    <row r="24" spans="1:2">
      <c r="A24" s="2" t="s">
        <v>30</v>
      </c>
      <c r="B24" s="4">
        <v>1</v>
      </c>
    </row>
  </sheetData>
  <mergeCells count="2">
    <mergeCell ref="A9:XFD9"/>
    <mergeCell ref="A17:XF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1_Data Input</vt:lpstr>
      <vt:lpstr>2_Data Input</vt:lpstr>
      <vt:lpstr>Sheet3</vt:lpstr>
      <vt:lpstr>role nhân sự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NGO</dc:creator>
  <cp:lastModifiedBy>NGO THANH VAN</cp:lastModifiedBy>
  <dcterms:created xsi:type="dcterms:W3CDTF">2015-06-05T18:17:20Z</dcterms:created>
  <dcterms:modified xsi:type="dcterms:W3CDTF">2026-05-09T09:41:47Z</dcterms:modified>
</cp:coreProperties>
</file>