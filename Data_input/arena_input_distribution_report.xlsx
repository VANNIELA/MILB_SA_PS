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A12FF7D-08EB-48B9-9469-6B71A654E5A5}"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Distribution_Report" sheetId="2" r:id="rId2"/>
    <sheet name="Reference_Libr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B12" i="1"/>
  <c r="C11" i="1"/>
  <c r="B11" i="1"/>
  <c r="C10" i="1"/>
  <c r="B10" i="1"/>
  <c r="C9" i="1"/>
  <c r="B9" i="1"/>
</calcChain>
</file>

<file path=xl/sharedStrings.xml><?xml version="1.0" encoding="utf-8"?>
<sst xmlns="http://schemas.openxmlformats.org/spreadsheetml/2006/main" count="225" uniqueCount="184">
  <si>
    <t>Arena Input Distribution Mapping Report</t>
  </si>
  <si>
    <t>Workflow block -&gt; candidate distribution -&gt; paper source -&gt; reason -&gt; Arena expression</t>
  </si>
  <si>
    <t>Purpose: give a cleaner academic basis for Arena inputs in the buffet lounge model. Rows marked 'Direct paper' can be used immediately as baseline seeds. Rows marked 'Indirect paper' or 'Internal SOP' should be calibrated with pilot timestamps or actual lounge procedures before final simulation.</t>
  </si>
  <si>
    <t>Metric</t>
  </si>
  <si>
    <t>Value</t>
  </si>
  <si>
    <t>Formula / basis</t>
  </si>
  <si>
    <t>Interpretation</t>
  </si>
  <si>
    <t>Total mapped inputs</t>
  </si>
  <si>
    <t>All workflow-input rows in the report</t>
  </si>
  <si>
    <t>Direct paper rows</t>
  </si>
  <si>
    <t>Can be seeded immediately in Arena</t>
  </si>
  <si>
    <t>Indirect paper rows</t>
  </si>
  <si>
    <t>Transferable logic but not fully direct to buffet lounge</t>
  </si>
  <si>
    <t>Internal SOP rows</t>
  </si>
  <si>
    <t>Use SOP / checklist rather than stochastic fitting</t>
  </si>
  <si>
    <t>Priority note</t>
  </si>
  <si>
    <t>Start with Arrival, Reception, Buffet Service, Dining Time, Dishwashing</t>
  </si>
  <si>
    <t>Manual note</t>
  </si>
  <si>
    <t>These blocks have the strongest paper-backed numeric seeds</t>
  </si>
  <si>
    <t>Recommended modeling order: (1) Arrival schedule -&gt; (2) Reception check-in -&gt; (3) Buffet service -&gt; (4) Dining / seat occupancy -&gt; (5) Table cleaning -&gt; (6) Dishwashing -&gt; (7) Safety / refill triggers.</t>
  </si>
  <si>
    <t>Prepared on 2026-04-24.</t>
  </si>
  <si>
    <t>Distribution Mapping Table</t>
  </si>
  <si>
    <t>Use this sheet as the working baseline for Arena input assumptions. Keep replacing 'baseline' rows with lounge pilot data as soon as you have timestamps.</t>
  </si>
  <si>
    <t>Workflow Block</t>
  </si>
  <si>
    <t>Input / Decision Modeled</t>
  </si>
  <si>
    <t>Candidate Distribution / Logic</t>
  </si>
  <si>
    <t>Parameter / Value Seed</t>
  </si>
  <si>
    <t>Paper / Source</t>
  </si>
  <si>
    <t>Evidence Level</t>
  </si>
  <si>
    <t>Why Chosen</t>
  </si>
  <si>
    <t>Arena Expression</t>
  </si>
  <si>
    <t>Recommendation</t>
  </si>
  <si>
    <t>Source URL</t>
  </si>
  <si>
    <t>Passenger Arrival</t>
  </si>
  <si>
    <t>Interarrival pattern at lounge entrance</t>
  </si>
  <si>
    <t>Time-varying Poisson / NHPP with 15–30 min slices</t>
  </si>
  <si>
    <t>λ(t) by time slice; nonstationary demand</t>
  </si>
  <si>
    <t>Stolletz (2011); Kambli et al. (2020); ICCPS airport check-in paper (2026)</t>
  </si>
  <si>
    <t>Direct paper</t>
  </si>
  <si>
    <t>Arrivals are time-dependent and often come in unequal batches; this is more defensible than one EXPO for the whole day.</t>
  </si>
  <si>
    <t>Create module with Schedule (entities/hour) or piecewise EXPO(60/lambda_t) inside each slice</t>
  </si>
  <si>
    <t>Use directly; calibrate λ(t) with flight-wave or lounge demand matrix</t>
  </si>
  <si>
    <t>https://www.sciencedirect.com/science/article/pii/S2210539511000198
https://www.sciencedirect.com/science/article/pii/S1447677019303274
https://www.sciencedirect.com/science/article/pii/S0360835226000896</t>
  </si>
  <si>
    <t>Reception Check-in</t>
  </si>
  <si>
    <t>Card / ID verification time</t>
  </si>
  <si>
    <t>Triangular</t>
  </si>
  <si>
    <t>9, 15, 17 sec = 0.15, 0.25, 0.283 min</t>
  </si>
  <si>
    <t>Usluer (2025)</t>
  </si>
  <si>
    <t>Short front-end gating transaction in a dining-entry context; a reasonable first proxy for lounge reception when local timestamps are absent.</t>
  </si>
  <si>
    <t>TRIA(0.15,0.25,0.283)</t>
  </si>
  <si>
    <t>Use as baseline, then replace with pilot timestamps from lounge reception</t>
  </si>
  <si>
    <t>https://acikerisim.uludag.edu.tr/entities/publication/78aa481b-7d06-427b-bcbb-9c63e6fe329a</t>
  </si>
  <si>
    <t>Buffet Service</t>
  </si>
  <si>
    <t>Meal pickup / line interaction time</t>
  </si>
  <si>
    <t>30, 40, 45 sec = 0.50, 0.667, 0.75 min</t>
  </si>
  <si>
    <t>Directly models service time at the food line and is the cleanest paper-backed seed for BLO interaction time.</t>
  </si>
  <si>
    <t>TRIA(0.50,0.667,0.75)</t>
  </si>
  <si>
    <t>Use as baseline for buffet-line interaction or assisted self-service time</t>
  </si>
  <si>
    <t>Dining Time</t>
  </si>
  <si>
    <t>Seat-occupation time while eating</t>
  </si>
  <si>
    <t>25, 30, 60 min</t>
  </si>
  <si>
    <t>Explicit meal-duration input from a dining-service DES; useful as the first global seat-occupancy distribution.</t>
  </si>
  <si>
    <t>TRIA(25,30,60)</t>
  </si>
  <si>
    <t>Use as first-pass global dining-time distribution</t>
  </si>
  <si>
    <t>Party-size and meal-period effect</t>
  </si>
  <si>
    <t>Segmented empirical / conditional distribution</t>
  </si>
  <si>
    <t>Separate distributions by party size and meal period</t>
  </si>
  <si>
    <t>Bell &amp; Pliner (2003); Bloom et al. (2012)</t>
  </si>
  <si>
    <t>Both studies show meal duration changes significantly with group size and meal period, so one global dining distribution is weaker than segmented logic.</t>
  </si>
  <si>
    <t>Use Decide / Assign to route entities to segment-specific TRIA / LOGN / empirical distributions</t>
  </si>
  <si>
    <t>Strongly recommended after pilot data collection</t>
  </si>
  <si>
    <t>https://pubmed.ncbi.nlm.nih.gov/14550324/
https://www.tandfonline.com/doi/abs/10.1080/15378020.2012.650591</t>
  </si>
  <si>
    <t>Seat Available?</t>
  </si>
  <si>
    <t>Seat occupancy adjustment by table type / location</t>
  </si>
  <si>
    <t>Conditional multiplier or table-class-specific empirical distribution</t>
  </si>
  <si>
    <t>Factor by booth / banquette / open table / quiet zone</t>
  </si>
  <si>
    <t>Kimes &amp; Robson (2004)</t>
  </si>
  <si>
    <t>Table type and table location affect meal duration and spending; useful when the lounge has seating zones or premium areas.</t>
  </si>
  <si>
    <t>aDiningTime = BaseDiningTime * vTableFactor[Class]  OR  class-specific distribution</t>
  </si>
  <si>
    <t>Use only if seating zones are meaningfully different in the lounge</t>
  </si>
  <si>
    <t>https://ecommons.cornell.edu/items/162c73aa-a583-4998-8435-95a37f363b1e</t>
  </si>
  <si>
    <t>Table Cleaning</t>
  </si>
  <si>
    <t>Clear-wipe-reset duration</t>
  </si>
  <si>
    <t>Pilot-fit empirical / Triangular after stopwatch study</t>
  </si>
  <si>
    <t>Collect 1-week timestamps; indirect benchmark mean cleaning = 7.1 min</t>
  </si>
  <si>
    <t>Jericó et al. (2011) time-study benchmark</t>
  </si>
  <si>
    <t>Indirect paper</t>
  </si>
  <si>
    <t>Cleaning tasks are better modeled from stopwatch observations than borrowed queueing theory; the cited study supports the time-study method, not a direct restaurant value.</t>
  </si>
  <si>
    <t>DISC(...) from sample  OR  TRIA(a,m,b) after stopwatch study</t>
  </si>
  <si>
    <t>Collect pilot data before final model; use paper only as a method precedent / upper-bound benchmark</t>
  </si>
  <si>
    <t>https://www.researchgate.net/publication/51748436_Measuring_quality_indicators_in_the_operating_room_cleaning_and_turnover_time</t>
  </si>
  <si>
    <t>Temperature Check</t>
  </si>
  <si>
    <t>Food-safety inspection trigger</t>
  </si>
  <si>
    <t>Deterministic schedule (not stochastic)</t>
  </si>
  <si>
    <t>Set by SOP, e.g. every 30 or 60 min</t>
  </si>
  <si>
    <t>Operational SOP / HACCP log</t>
  </si>
  <si>
    <t>Internal SOP</t>
  </si>
  <si>
    <t>This block is usually compliance-driven, so a fixed inspection schedule is more defensible than a random distribution.</t>
  </si>
  <si>
    <t>Create periodic entity or use schedule-based trigger</t>
  </si>
  <si>
    <t>Pull from actual SOP or hygiene checklist, not from academic distribution fitting</t>
  </si>
  <si>
    <t>Internal document / HACCP log</t>
  </si>
  <si>
    <t>Refill Supply</t>
  </si>
  <si>
    <t>Refill trigger + refill service time</t>
  </si>
  <si>
    <t>State-dependent trigger plus fitted service-time distribution</t>
  </si>
  <si>
    <t>Trigger when stock &lt; reorder point; service time from pilot fit</t>
  </si>
  <si>
    <t>Kambli et al. (2020) + internal SOP</t>
  </si>
  <si>
    <t>Paper evidence supports demand-sensitive bottlenecks at food stations, but exact refill time should come from local timestamps or SOP timing.</t>
  </si>
  <si>
    <t>IF(vStock &lt; ROP, create refill job); service time = TRIA(a,m,b) or empirical fit</t>
  </si>
  <si>
    <t>Use state logic now; collect refill timestamps before finalizing distribution</t>
  </si>
  <si>
    <t>https://www.sciencedirect.com/science/article/pii/S1447677019303274</t>
  </si>
  <si>
    <t>Dishwashing</t>
  </si>
  <si>
    <t>Manual pre-wash duration for dishes</t>
  </si>
  <si>
    <t>Normal</t>
  </si>
  <si>
    <t>mean = 4.99 min, sd = 1.14 min</t>
  </si>
  <si>
    <t>Lee, Zhang &amp; Ng (2019)</t>
  </si>
  <si>
    <t>Direct empirical fit from central dishwashing operations in a catering setting; good BOH baseline for pre-wash of dishes.</t>
  </si>
  <si>
    <t>NORM(4.99,1.14)</t>
  </si>
  <si>
    <t>Use directly for initial BOH dish pre-wash model</t>
  </si>
  <si>
    <t>https://www.mdpi.com/2071-1050/11/13/3655</t>
  </si>
  <si>
    <t>Machine cleaning cycle for dishes</t>
  </si>
  <si>
    <t>Deterministic</t>
  </si>
  <si>
    <t>6 min per box / rack cycle</t>
  </si>
  <si>
    <t>Machine cycle was modeled as fixed in the case study, which is defensible when cycle settings are standardized.</t>
  </si>
  <si>
    <t>6</t>
  </si>
  <si>
    <t>Use directly if rack / machine cycle logic is similar</t>
  </si>
  <si>
    <t>Post-wash counting duration</t>
  </si>
  <si>
    <t>mean = 2.47 min, sd = 1.08 min</t>
  </si>
  <si>
    <t>Direct empirical fit for a BOH support process after washing; useful for end-of-line counting / consolidation.</t>
  </si>
  <si>
    <t>NORM(2.47,1.08)</t>
  </si>
  <si>
    <t>Use directly for BOH support-process baseline</t>
  </si>
  <si>
    <t>Machine cleaning cycle for cutlery</t>
  </si>
  <si>
    <t>3 min per box / rack cycle</t>
  </si>
  <si>
    <t>Same case study provides a fixed cutlery machine-cleaning cycle.</t>
  </si>
  <si>
    <t>3</t>
  </si>
  <si>
    <t>Use directly if cutlery is modeled separately</t>
  </si>
  <si>
    <t>Cutlery packing duration</t>
  </si>
  <si>
    <t>Lognormal family (re-fit before direct Arena coding)</t>
  </si>
  <si>
    <t>Paper notation: L(6.9,54.1)</t>
  </si>
  <si>
    <t>The paper reports a right-skewed fitted family for cutlery packing, but the notation is ProModel-specific; family choice is useful, parameters should be rechecked in local fitting.</t>
  </si>
  <si>
    <t>Fit with Arena Input Analyzer using local sample; seed the family as lognormal</t>
  </si>
  <si>
    <t>Use the family choice, not the paper parameters verbatim</t>
  </si>
  <si>
    <t>Reference Library</t>
  </si>
  <si>
    <t>Compact list of the papers and sources used to justify the proposed Arena inputs.</t>
  </si>
  <si>
    <t>Source Key</t>
  </si>
  <si>
    <t>Full Citation / Title</t>
  </si>
  <si>
    <t>Domain</t>
  </si>
  <si>
    <t>Key Evidence Extracted</t>
  </si>
  <si>
    <t>Furkan Onur Usluer, Solving Queue Problems in a Campus Dining Service with Discrete Event Simulation</t>
  </si>
  <si>
    <t>Campus dining DES</t>
  </si>
  <si>
    <t>Card-machine transaction time follows triangular distribution (9,15,17) seconds; meal-receipt time follows triangular distribution (30,40,45) seconds; lunch time follows triangular distribution (25,30,60) minutes.</t>
  </si>
  <si>
    <t>Lee et al. (2019)</t>
  </si>
  <si>
    <t>Carman K.M. Lee, Shuzhu Zhang, Kam K.H. Ng, In-Plant Logistics Simulation Model for the Catering Service Industry Towards Sustainable Development: A Case Study</t>
  </si>
  <si>
    <t>Central dishwashing / catering logistics</t>
  </si>
  <si>
    <t>Pre-washing dishes: N(4.99,1.14); machine-cleaning dishes: 6 min; machine-cleaning cutlery: 3 min; counting: N(2.47,1.08); cutlery packing reported as lognormal family.</t>
  </si>
  <si>
    <t>Kambli et al. (2020)</t>
  </si>
  <si>
    <t>Ashish Kambli, Amitanand Sinha, Sharan Srinivas, Improving campus dining operations using capacity and queue management: A simulation-based case study</t>
  </si>
  <si>
    <t>All-you-can-eat campus dining</t>
  </si>
  <si>
    <t>Arrival demand uncertainty is time-dependent and students arrive in batches spread across unequal intervals of time; made-to-order stations are the main bottlenecks.</t>
  </si>
  <si>
    <t>Stolletz (2011)</t>
  </si>
  <si>
    <t>Raik Stolletz, Analysis of passenger queues at airport terminals</t>
  </si>
  <si>
    <t>Airport check-in queues</t>
  </si>
  <si>
    <t>Models check-in as M(t)/G/c(t) with inhomogeneous Poisson arrivals λ(t), general service times, and time-dependent server capacity c(t).</t>
  </si>
  <si>
    <t>https://www.sciencedirect.com/science/article/pii/S2210539511000198</t>
  </si>
  <si>
    <t>Airport ICCPS (2026)</t>
  </si>
  <si>
    <t>A data-driven decision support framework for the integrated airport check-in capacity planning problem</t>
  </si>
  <si>
    <t>Airport check-in planning</t>
  </si>
  <si>
    <t>Uses on-site observations to derive arrival-pattern distributions with kernel density estimation and fits an exponential distribution to observed service times.</t>
  </si>
  <si>
    <t>https://www.sciencedirect.com/science/article/pii/S0360835226000896</t>
  </si>
  <si>
    <t>Bell &amp; Pliner (2003)</t>
  </si>
  <si>
    <t>Rick Bell, Patricia L. Pliner, Time to eat: the relationship between the number of people eating and meal duration in three lunch settings</t>
  </si>
  <si>
    <t>Meal duration study</t>
  </si>
  <si>
    <t>Meal duration increases with group size and differs across settings; faster settings have shorter meal durations.</t>
  </si>
  <si>
    <t>https://pubmed.ncbi.nlm.nih.gov/14550324/</t>
  </si>
  <si>
    <t>Bloom et al. (2012)</t>
  </si>
  <si>
    <t>Barry A.N. Bloom et al., The Impact of Meal Duration on a Corporate Casual Full-Service Restaurant Chain</t>
  </si>
  <si>
    <t>Meal period and party size both have statistically significant impacts on meal duration; study develops a predictive model.</t>
  </si>
  <si>
    <t>https://www.tandfonline.com/doi/abs/10.1080/15378020.2012.650591</t>
  </si>
  <si>
    <t>Sheryl E. Kimes, Stephani K.A. Robson, The Impact of Restaurant Table Characteristics on Meal Duration and Spending</t>
  </si>
  <si>
    <t>Restaurant seating and duration</t>
  </si>
  <si>
    <t>Table type and table location materially affect meal duration and spending per minute.</t>
  </si>
  <si>
    <t>Jericó et al. (2011)</t>
  </si>
  <si>
    <t>Marli de Carvalho Jericó et al., Measuring quality indicators in the operating room: cleaning and turnover time</t>
  </si>
  <si>
    <t>Cleaning time-study precedent</t>
  </si>
  <si>
    <t>Reports mean concurrent cleaning time of 7.1 minutes and supports direct stopwatch time studies for cleaning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</si>
</sst>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1F1F1F"/>
      <name val="Calibri"/>
      <family val="2"/>
    </font>
    <font>
      <sz val="11"/>
      <color rgb="FF1F1F1F"/>
      <name val="Calibri"/>
      <family val="2"/>
    </font>
    <font>
      <sz val="10"/>
      <color rgb="FF1F1F1F"/>
      <name val="Calibri"/>
      <family val="2"/>
    </font>
    <font>
      <b/>
      <sz val="10"/>
      <color rgb="FF1F1F1F"/>
      <name val="Calibri"/>
      <family val="2"/>
    </font>
    <font>
      <sz val="10"/>
      <name val="Calibri"/>
      <family val="2"/>
    </font>
    <font>
      <sz val="11"/>
      <name val="Calibri"/>
      <family val="2"/>
    </font>
    <font>
      <b/>
      <sz val="13"/>
      <name val="Calibri"/>
      <family val="2"/>
    </font>
    <font>
      <b/>
      <sz val="10"/>
      <name val="Calibri"/>
      <family val="2"/>
    </font>
    <font>
      <u/>
      <sz val="11"/>
      <color theme="10"/>
      <name val="Carlito"/>
    </font>
  </fonts>
  <fills count="10">
    <fill>
      <patternFill patternType="none"/>
    </fill>
    <fill>
      <patternFill patternType="gray125"/>
    </fill>
    <fill>
      <patternFill patternType="solid">
        <fgColor rgb="FFDDEBF7"/>
      </patternFill>
    </fill>
    <fill>
      <patternFill patternType="solid">
        <fgColor rgb="FFF8F9FB"/>
      </patternFill>
    </fill>
    <fill>
      <patternFill patternType="solid">
        <fgColor rgb="FFE2F0D9"/>
      </patternFill>
    </fill>
    <fill>
      <patternFill patternType="solid">
        <fgColor rgb="FFFFF2CC"/>
      </patternFill>
    </fill>
    <fill>
      <patternFill patternType="solid">
        <fgColor rgb="FFF4F4F4"/>
      </patternFill>
    </fill>
    <fill>
      <patternFill patternType="solid">
        <fgColor rgb="FFF7FBFF"/>
      </patternFill>
    </fill>
    <fill>
      <patternFill patternType="solid">
        <fgColor rgb="FFFFF9F0"/>
      </patternFill>
    </fill>
    <fill>
      <patternFill patternType="solid">
        <fgColor theme="4"/>
        <bgColor indexed="64"/>
      </patternFill>
    </fill>
  </fills>
  <borders count="18">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D9E2F3"/>
      </left>
      <right style="thin">
        <color rgb="FFD9E2F3"/>
      </right>
      <top style="thin">
        <color rgb="FFD9E2F3"/>
      </top>
      <bottom style="thin">
        <color rgb="FFD9E2F3"/>
      </bottom>
      <diagonal/>
    </border>
    <border>
      <left style="thin">
        <color rgb="FFE6D690"/>
      </left>
      <right/>
      <top style="thin">
        <color rgb="FFE6D690"/>
      </top>
      <bottom/>
      <diagonal/>
    </border>
    <border>
      <left/>
      <right/>
      <top style="thin">
        <color rgb="FFE6D690"/>
      </top>
      <bottom/>
      <diagonal/>
    </border>
    <border>
      <left/>
      <right style="thin">
        <color rgb="FFE6D690"/>
      </right>
      <top style="thin">
        <color rgb="FFE6D690"/>
      </top>
      <bottom/>
      <diagonal/>
    </border>
    <border>
      <left style="thin">
        <color rgb="FFE6D690"/>
      </left>
      <right/>
      <top/>
      <bottom/>
      <diagonal/>
    </border>
    <border>
      <left/>
      <right style="thin">
        <color rgb="FFE6D690"/>
      </right>
      <top/>
      <bottom/>
      <diagonal/>
    </border>
    <border>
      <left style="thin">
        <color rgb="FFE6D690"/>
      </left>
      <right/>
      <top/>
      <bottom style="thin">
        <color rgb="FFE6D690"/>
      </bottom>
      <diagonal/>
    </border>
    <border>
      <left/>
      <right/>
      <top/>
      <bottom style="thin">
        <color rgb="FFE6D690"/>
      </bottom>
      <diagonal/>
    </border>
    <border>
      <left/>
      <right style="thin">
        <color rgb="FFE6D690"/>
      </right>
      <top/>
      <bottom style="thin">
        <color rgb="FFE6D690"/>
      </bottom>
      <diagonal/>
    </border>
  </borders>
  <cellStyleXfs count="2">
    <xf numFmtId="0" fontId="0" fillId="0" borderId="0"/>
    <xf numFmtId="0" fontId="9" fillId="0" borderId="0" applyNumberFormat="0" applyFill="0" applyBorder="0" applyAlignment="0" applyProtection="0"/>
  </cellStyleXfs>
  <cellXfs count="33">
    <xf numFmtId="0" fontId="0" fillId="0" borderId="0" xfId="0"/>
    <xf numFmtId="0" fontId="3" fillId="0" borderId="9" xfId="0" applyFont="1" applyBorder="1" applyAlignment="1">
      <alignment vertical="top" wrapText="1"/>
    </xf>
    <xf numFmtId="0" fontId="4" fillId="4" borderId="9" xfId="0" applyFont="1" applyFill="1" applyBorder="1" applyAlignment="1">
      <alignment vertical="top" wrapText="1"/>
    </xf>
    <xf numFmtId="0" fontId="5" fillId="5" borderId="13" xfId="0" applyFont="1" applyFill="1" applyBorder="1" applyAlignment="1">
      <alignment vertical="center" wrapText="1"/>
    </xf>
    <xf numFmtId="0" fontId="5" fillId="5" borderId="0" xfId="0" applyFont="1" applyFill="1" applyAlignment="1">
      <alignment vertical="center" wrapText="1"/>
    </xf>
    <xf numFmtId="0" fontId="5" fillId="5" borderId="14" xfId="0" applyFont="1" applyFill="1" applyBorder="1" applyAlignment="1">
      <alignment vertical="center" wrapText="1"/>
    </xf>
    <xf numFmtId="1" fontId="3" fillId="0" borderId="9" xfId="0" applyNumberFormat="1" applyFont="1" applyBorder="1" applyAlignment="1">
      <alignment vertical="top" wrapText="1"/>
    </xf>
    <xf numFmtId="0" fontId="6" fillId="0" borderId="0" xfId="0" applyFont="1"/>
    <xf numFmtId="0" fontId="5" fillId="0" borderId="9" xfId="0" applyFont="1" applyBorder="1" applyAlignment="1">
      <alignment vertical="top" wrapText="1"/>
    </xf>
    <xf numFmtId="0" fontId="8" fillId="4" borderId="9" xfId="0" applyFont="1" applyFill="1" applyBorder="1" applyAlignment="1">
      <alignment vertical="top" wrapText="1"/>
    </xf>
    <xf numFmtId="0" fontId="5" fillId="6" borderId="9" xfId="0" applyFont="1" applyFill="1" applyBorder="1" applyAlignment="1">
      <alignment vertical="top" wrapText="1"/>
    </xf>
    <xf numFmtId="0" fontId="5" fillId="7" borderId="9" xfId="0" applyFont="1" applyFill="1" applyBorder="1" applyAlignment="1">
      <alignment vertical="top" wrapText="1"/>
    </xf>
    <xf numFmtId="0" fontId="5" fillId="8" borderId="9" xfId="0" applyFont="1" applyFill="1" applyBorder="1" applyAlignment="1">
      <alignment vertical="top" wrapText="1"/>
    </xf>
    <xf numFmtId="0" fontId="8" fillId="9" borderId="9" xfId="0" applyFont="1" applyFill="1" applyBorder="1" applyAlignment="1">
      <alignment vertical="top" wrapText="1"/>
    </xf>
    <xf numFmtId="0" fontId="0" fillId="9" borderId="0" xfId="0" applyFill="1"/>
    <xf numFmtId="0" fontId="7"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2" fillId="3" borderId="0" xfId="0" applyFont="1" applyFill="1" applyAlignment="1">
      <alignment vertical="top" wrapText="1"/>
    </xf>
    <xf numFmtId="0" fontId="2" fillId="3" borderId="5" xfId="0" applyFont="1" applyFill="1" applyBorder="1" applyAlignment="1">
      <alignment vertical="top" wrapText="1"/>
    </xf>
    <xf numFmtId="0" fontId="2" fillId="3" borderId="6" xfId="0" applyFont="1" applyFill="1" applyBorder="1" applyAlignment="1">
      <alignment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5" fillId="5" borderId="10" xfId="0" applyFont="1" applyFill="1" applyBorder="1" applyAlignment="1">
      <alignment vertical="center" wrapText="1"/>
    </xf>
    <xf numFmtId="0" fontId="5" fillId="5" borderId="11" xfId="0" applyFont="1" applyFill="1" applyBorder="1" applyAlignment="1">
      <alignment vertical="center" wrapText="1"/>
    </xf>
    <xf numFmtId="0" fontId="5" fillId="5" borderId="12" xfId="0" applyFont="1" applyFill="1" applyBorder="1" applyAlignment="1">
      <alignment vertical="center" wrapText="1"/>
    </xf>
    <xf numFmtId="0" fontId="5" fillId="5" borderId="15" xfId="0" applyFont="1" applyFill="1" applyBorder="1" applyAlignment="1">
      <alignment vertical="center" wrapText="1"/>
    </xf>
    <xf numFmtId="0" fontId="5" fillId="5" borderId="16" xfId="0" applyFont="1" applyFill="1" applyBorder="1" applyAlignment="1">
      <alignment vertical="center" wrapText="1"/>
    </xf>
    <xf numFmtId="0" fontId="5" fillId="5" borderId="17" xfId="0" applyFont="1" applyFill="1" applyBorder="1" applyAlignment="1">
      <alignment vertical="center" wrapText="1"/>
    </xf>
    <xf numFmtId="0" fontId="9" fillId="7" borderId="9" xfId="1" applyFill="1" applyBorder="1" applyAlignment="1">
      <alignment vertical="top" wrapText="1"/>
    </xf>
  </cellXfs>
  <cellStyles count="2">
    <cellStyle name="Hyperlink" xfId="1" builtinId="8"/>
    <cellStyle name="Normal" xfId="0" builtinId="0"/>
  </cellStyles>
  <dxfs count="1">
    <dxf>
      <fill>
        <patternFill>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J18" headerRowDxfId="0">
  <tableColumns count="10">
    <tableColumn id="1" xr3:uid="{00000000-0010-0000-0000-000001000000}" name="Workflow Block"/>
    <tableColumn id="2" xr3:uid="{00000000-0010-0000-0000-000002000000}" name="Input / Decision Modeled"/>
    <tableColumn id="3" xr3:uid="{00000000-0010-0000-0000-000003000000}" name="Candidate Distribution / Logic"/>
    <tableColumn id="4" xr3:uid="{00000000-0010-0000-0000-000004000000}" name="Parameter / Value Seed"/>
    <tableColumn id="5" xr3:uid="{00000000-0010-0000-0000-000005000000}" name="Paper / Source"/>
    <tableColumn id="6" xr3:uid="{00000000-0010-0000-0000-000006000000}" name="Evidence Level"/>
    <tableColumn id="7" xr3:uid="{00000000-0010-0000-0000-000007000000}" name="Why Chosen"/>
    <tableColumn id="8" xr3:uid="{00000000-0010-0000-0000-000008000000}" name="Arena Expression"/>
    <tableColumn id="9" xr3:uid="{00000000-0010-0000-0000-000009000000}" name="Recommendation"/>
    <tableColumn id="10" xr3:uid="{00000000-0010-0000-0000-00000A000000}" name="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_1" ref="A4:E13">
  <tableColumns count="5">
    <tableColumn id="1" xr3:uid="{00000000-0010-0000-0100-000001000000}" name="Source Key"/>
    <tableColumn id="2" xr3:uid="{00000000-0010-0000-0100-000002000000}" name="Full Citation / Title"/>
    <tableColumn id="3" xr3:uid="{00000000-0010-0000-0100-000003000000}" name="Domain"/>
    <tableColumn id="4" xr3:uid="{00000000-0010-0000-0100-000004000000}" name="Key Evidence Extracted"/>
    <tableColumn id="5" xr3:uid="{00000000-0010-0000-0100-000005000000}" name="Source 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cikerisim.uludag.edu.tr/entities/publication/78aa481b-7d06-427b-bcbb-9c63e6fe329a" TargetMode="External"/><Relationship Id="rId2" Type="http://schemas.openxmlformats.org/officeDocument/2006/relationships/hyperlink" Target="https://acikerisim.uludag.edu.tr/entities/publication/78aa481b-7d06-427b-bcbb-9c63e6fe329a" TargetMode="External"/><Relationship Id="rId1" Type="http://schemas.openxmlformats.org/officeDocument/2006/relationships/hyperlink" Target="https://acikerisim.uludag.edu.tr/entities/publication/78aa481b-7d06-427b-bcbb-9c63e6fe329a"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opLeftCell="A6" workbookViewId="0">
      <selection activeCell="C10" sqref="C10"/>
    </sheetView>
  </sheetViews>
  <sheetFormatPr defaultRowHeight="13.8"/>
  <cols>
    <col min="1" max="1" width="18" customWidth="1"/>
    <col min="2" max="2" width="12" customWidth="1"/>
    <col min="3" max="3" width="22" customWidth="1"/>
    <col min="4" max="4" width="32" customWidth="1"/>
    <col min="5" max="10" width="14" customWidth="1"/>
  </cols>
  <sheetData>
    <row r="1" spans="1:10" ht="19.2" customHeight="1">
      <c r="A1" s="16" t="s">
        <v>0</v>
      </c>
      <c r="B1" s="16"/>
      <c r="C1" s="16"/>
      <c r="D1" s="16"/>
      <c r="E1" s="16"/>
      <c r="F1" s="16"/>
      <c r="G1" s="16"/>
      <c r="H1" s="16"/>
      <c r="I1" s="16"/>
      <c r="J1" s="16"/>
    </row>
    <row r="2" spans="1:10" ht="19.2" customHeight="1">
      <c r="A2" s="16" t="s">
        <v>1</v>
      </c>
      <c r="B2" s="16"/>
      <c r="C2" s="16"/>
      <c r="D2" s="16"/>
      <c r="E2" s="16"/>
      <c r="F2" s="16"/>
      <c r="G2" s="16"/>
      <c r="H2" s="16"/>
      <c r="I2" s="16"/>
      <c r="J2" s="16"/>
    </row>
    <row r="3" spans="1:10" ht="14.4">
      <c r="A3" s="7"/>
      <c r="B3" s="7"/>
      <c r="C3" s="7"/>
      <c r="D3" s="7"/>
      <c r="E3" s="7"/>
      <c r="F3" s="7"/>
      <c r="G3" s="7"/>
      <c r="H3" s="7"/>
      <c r="I3" s="7"/>
      <c r="J3" s="7"/>
    </row>
    <row r="4" spans="1:10" ht="28.8" customHeight="1">
      <c r="A4" s="17" t="s">
        <v>2</v>
      </c>
      <c r="B4" s="18"/>
      <c r="C4" s="18"/>
      <c r="D4" s="18"/>
      <c r="E4" s="18"/>
      <c r="F4" s="18"/>
      <c r="G4" s="18"/>
      <c r="H4" s="18"/>
      <c r="I4" s="18"/>
      <c r="J4" s="19"/>
    </row>
    <row r="5" spans="1:10" ht="28.8" customHeight="1">
      <c r="A5" s="20"/>
      <c r="B5" s="21"/>
      <c r="C5" s="21"/>
      <c r="D5" s="21"/>
      <c r="E5" s="21"/>
      <c r="F5" s="21"/>
      <c r="G5" s="21"/>
      <c r="H5" s="21"/>
      <c r="I5" s="21"/>
      <c r="J5" s="22"/>
    </row>
    <row r="6" spans="1:10" ht="28.8" customHeight="1">
      <c r="A6" s="23"/>
      <c r="B6" s="24"/>
      <c r="C6" s="24"/>
      <c r="D6" s="24"/>
      <c r="E6" s="24"/>
      <c r="F6" s="24"/>
      <c r="G6" s="24"/>
      <c r="H6" s="24"/>
      <c r="I6" s="24"/>
      <c r="J6" s="25"/>
    </row>
    <row r="7" spans="1:10" ht="14.4">
      <c r="A7" s="7"/>
      <c r="B7" s="7"/>
      <c r="C7" s="7"/>
      <c r="D7" s="7"/>
      <c r="E7" s="7"/>
      <c r="F7" s="7"/>
      <c r="G7" s="7"/>
      <c r="H7" s="7"/>
      <c r="I7" s="7"/>
      <c r="J7" s="7"/>
    </row>
    <row r="8" spans="1:10" ht="12" customHeight="1">
      <c r="A8" s="2" t="s">
        <v>3</v>
      </c>
      <c r="B8" s="2" t="s">
        <v>4</v>
      </c>
      <c r="C8" s="2" t="s">
        <v>5</v>
      </c>
      <c r="D8" s="2" t="s">
        <v>6</v>
      </c>
      <c r="E8" s="7"/>
      <c r="F8" s="7"/>
      <c r="G8" s="7"/>
      <c r="H8" s="7"/>
      <c r="I8" s="7"/>
      <c r="J8" s="7"/>
    </row>
    <row r="9" spans="1:10" ht="12" customHeight="1">
      <c r="A9" s="1" t="s">
        <v>7</v>
      </c>
      <c r="B9" s="6">
        <f>COUNTA(Distribution_Report!A5:A18)</f>
        <v>14</v>
      </c>
      <c r="C9" s="1">
        <f>COUNTA(Distribution_Report!A5:A18)</f>
        <v>14</v>
      </c>
      <c r="D9" s="1" t="s">
        <v>8</v>
      </c>
      <c r="E9" s="7"/>
      <c r="F9" s="7"/>
      <c r="G9" s="7"/>
      <c r="H9" s="7"/>
      <c r="I9" s="7"/>
      <c r="J9" s="7"/>
    </row>
    <row r="10" spans="1:10" ht="12" customHeight="1">
      <c r="A10" s="1" t="s">
        <v>9</v>
      </c>
      <c r="B10" s="6">
        <f>COUNTIF(Distribution_Report!F5:F18,"Direct paper")</f>
        <v>11</v>
      </c>
      <c r="C10" s="1">
        <f>COUNTIF(Distribution_Report!F5:F18,"Direct paper")</f>
        <v>11</v>
      </c>
      <c r="D10" s="1" t="s">
        <v>10</v>
      </c>
      <c r="E10" s="7"/>
      <c r="F10" s="7"/>
      <c r="G10" s="7"/>
      <c r="H10" s="7"/>
      <c r="I10" s="7"/>
      <c r="J10" s="7"/>
    </row>
    <row r="11" spans="1:10" ht="19.5" customHeight="1">
      <c r="A11" s="1" t="s">
        <v>11</v>
      </c>
      <c r="B11" s="6">
        <f>COUNTIF(Distribution_Report!F5:F18,"Indirect paper")</f>
        <v>2</v>
      </c>
      <c r="C11" s="1">
        <f>COUNTIF(Distribution_Report!F5:F18,"Indirect paper")</f>
        <v>2</v>
      </c>
      <c r="D11" s="1" t="s">
        <v>12</v>
      </c>
      <c r="E11" s="7"/>
      <c r="F11" s="7"/>
      <c r="G11" s="7"/>
      <c r="H11" s="7"/>
      <c r="I11" s="7"/>
      <c r="J11" s="7"/>
    </row>
    <row r="12" spans="1:10" ht="19.5" customHeight="1">
      <c r="A12" s="1" t="s">
        <v>13</v>
      </c>
      <c r="B12" s="6">
        <f>COUNTIF(Distribution_Report!F5:F18,"Internal SOP")</f>
        <v>1</v>
      </c>
      <c r="C12" s="1">
        <f>COUNTIF(Distribution_Report!F5:F18,"Internal SOP")</f>
        <v>1</v>
      </c>
      <c r="D12" s="1" t="s">
        <v>14</v>
      </c>
      <c r="E12" s="7"/>
      <c r="F12" s="7"/>
      <c r="G12" s="7"/>
      <c r="H12" s="7"/>
      <c r="I12" s="7"/>
      <c r="J12" s="7"/>
    </row>
    <row r="13" spans="1:10" ht="58.5" customHeight="1">
      <c r="A13" s="1" t="s">
        <v>15</v>
      </c>
      <c r="B13" s="1" t="s">
        <v>16</v>
      </c>
      <c r="C13" s="1" t="s">
        <v>17</v>
      </c>
      <c r="D13" s="1" t="s">
        <v>18</v>
      </c>
      <c r="E13" s="7"/>
      <c r="F13" s="7"/>
      <c r="G13" s="7"/>
      <c r="H13" s="7"/>
      <c r="I13" s="7"/>
      <c r="J13" s="7"/>
    </row>
    <row r="14" spans="1:10" ht="14.4">
      <c r="A14" s="7"/>
      <c r="B14" s="7"/>
      <c r="C14" s="7"/>
      <c r="D14" s="7"/>
      <c r="E14" s="7"/>
      <c r="F14" s="7"/>
      <c r="G14" s="7"/>
      <c r="H14" s="7"/>
      <c r="I14" s="7"/>
      <c r="J14" s="7"/>
    </row>
    <row r="15" spans="1:10" ht="19.2" customHeight="1">
      <c r="A15" s="26" t="s">
        <v>19</v>
      </c>
      <c r="B15" s="27"/>
      <c r="C15" s="27"/>
      <c r="D15" s="27"/>
      <c r="E15" s="27"/>
      <c r="F15" s="27"/>
      <c r="G15" s="27"/>
      <c r="H15" s="27"/>
      <c r="I15" s="27"/>
      <c r="J15" s="28"/>
    </row>
    <row r="16" spans="1:10" ht="19.2" customHeight="1">
      <c r="A16" s="3"/>
      <c r="B16" s="4"/>
      <c r="C16" s="4"/>
      <c r="D16" s="4"/>
      <c r="E16" s="4"/>
      <c r="F16" s="4"/>
      <c r="G16" s="4"/>
      <c r="H16" s="4"/>
      <c r="I16" s="4"/>
      <c r="J16" s="5"/>
    </row>
    <row r="17" spans="1:10" ht="19.2" customHeight="1">
      <c r="A17" s="29" t="s">
        <v>20</v>
      </c>
      <c r="B17" s="30"/>
      <c r="C17" s="30"/>
      <c r="D17" s="30"/>
      <c r="E17" s="30"/>
      <c r="F17" s="30"/>
      <c r="G17" s="30"/>
      <c r="H17" s="30"/>
      <c r="I17" s="30"/>
      <c r="J17" s="31"/>
    </row>
  </sheetData>
  <mergeCells count="5">
    <mergeCell ref="A1:J1"/>
    <mergeCell ref="A2:J2"/>
    <mergeCell ref="A4:J6"/>
    <mergeCell ref="A15:J15"/>
    <mergeCell ref="A17:J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tabSelected="1" topLeftCell="D1" workbookViewId="0">
      <selection activeCell="H12" sqref="H12"/>
    </sheetView>
  </sheetViews>
  <sheetFormatPr defaultRowHeight="13.8"/>
  <cols>
    <col min="1" max="1" width="20" customWidth="1"/>
    <col min="2" max="2" width="26" customWidth="1"/>
    <col min="3" max="3" width="25" customWidth="1"/>
    <col min="4" max="4" width="24" customWidth="1"/>
    <col min="5" max="5" width="28" customWidth="1"/>
    <col min="6" max="6" width="16" customWidth="1"/>
    <col min="7" max="7" width="42" customWidth="1"/>
    <col min="8" max="8" width="32" customWidth="1"/>
    <col min="9" max="9" width="30" customWidth="1"/>
    <col min="10" max="10" width="69.19921875" bestFit="1" customWidth="1"/>
  </cols>
  <sheetData>
    <row r="1" spans="1:10" ht="17.399999999999999">
      <c r="A1" s="15" t="s">
        <v>21</v>
      </c>
      <c r="B1" s="15"/>
      <c r="C1" s="15"/>
      <c r="D1" s="15"/>
      <c r="E1" s="15"/>
      <c r="F1" s="15"/>
      <c r="G1" s="15"/>
      <c r="H1" s="15"/>
      <c r="I1" s="15"/>
      <c r="J1" s="15"/>
    </row>
    <row r="2" spans="1:10" ht="17.399999999999999">
      <c r="A2" s="15" t="s">
        <v>22</v>
      </c>
      <c r="B2" s="15"/>
      <c r="C2" s="15"/>
      <c r="D2" s="15"/>
      <c r="E2" s="15"/>
      <c r="F2" s="15"/>
      <c r="G2" s="15"/>
      <c r="H2" s="15"/>
      <c r="I2" s="15"/>
      <c r="J2" s="15"/>
    </row>
    <row r="4" spans="1:10" s="14" customFormat="1">
      <c r="A4" s="13" t="s">
        <v>23</v>
      </c>
      <c r="B4" s="13" t="s">
        <v>24</v>
      </c>
      <c r="C4" s="13" t="s">
        <v>25</v>
      </c>
      <c r="D4" s="13" t="s">
        <v>26</v>
      </c>
      <c r="E4" s="13" t="s">
        <v>27</v>
      </c>
      <c r="F4" s="13" t="s">
        <v>28</v>
      </c>
      <c r="G4" s="13" t="s">
        <v>29</v>
      </c>
      <c r="H4" s="13" t="s">
        <v>30</v>
      </c>
      <c r="I4" s="13" t="s">
        <v>31</v>
      </c>
      <c r="J4" s="13" t="s">
        <v>32</v>
      </c>
    </row>
    <row r="5" spans="1:10" ht="58.5" customHeight="1">
      <c r="A5" s="10" t="s">
        <v>33</v>
      </c>
      <c r="B5" s="10" t="s">
        <v>34</v>
      </c>
      <c r="C5" s="10" t="s">
        <v>35</v>
      </c>
      <c r="D5" s="10" t="s">
        <v>36</v>
      </c>
      <c r="E5" s="10" t="s">
        <v>37</v>
      </c>
      <c r="F5" s="10" t="s">
        <v>38</v>
      </c>
      <c r="G5" s="10" t="s">
        <v>39</v>
      </c>
      <c r="H5" s="10" t="s">
        <v>40</v>
      </c>
      <c r="I5" s="10" t="s">
        <v>41</v>
      </c>
      <c r="J5" s="10" t="s">
        <v>42</v>
      </c>
    </row>
    <row r="6" spans="1:10" ht="29.25" customHeight="1">
      <c r="A6" s="11" t="s">
        <v>43</v>
      </c>
      <c r="B6" s="11" t="s">
        <v>44</v>
      </c>
      <c r="C6" s="11" t="s">
        <v>45</v>
      </c>
      <c r="D6" s="11" t="s">
        <v>46</v>
      </c>
      <c r="E6" s="11" t="s">
        <v>47</v>
      </c>
      <c r="F6" s="11" t="s">
        <v>38</v>
      </c>
      <c r="G6" s="11" t="s">
        <v>48</v>
      </c>
      <c r="H6" s="11" t="s">
        <v>49</v>
      </c>
      <c r="I6" s="11" t="s">
        <v>50</v>
      </c>
      <c r="J6" s="32" t="s">
        <v>51</v>
      </c>
    </row>
    <row r="7" spans="1:10" ht="27.6">
      <c r="A7" s="11" t="s">
        <v>52</v>
      </c>
      <c r="B7" s="11" t="s">
        <v>53</v>
      </c>
      <c r="C7" s="11" t="s">
        <v>45</v>
      </c>
      <c r="D7" s="11" t="s">
        <v>54</v>
      </c>
      <c r="E7" s="11" t="s">
        <v>47</v>
      </c>
      <c r="F7" s="11" t="s">
        <v>38</v>
      </c>
      <c r="G7" s="11" t="s">
        <v>55</v>
      </c>
      <c r="H7" s="11" t="s">
        <v>56</v>
      </c>
      <c r="I7" s="11" t="s">
        <v>57</v>
      </c>
      <c r="J7" s="32" t="s">
        <v>51</v>
      </c>
    </row>
    <row r="8" spans="1:10" ht="27.6">
      <c r="A8" s="11" t="s">
        <v>58</v>
      </c>
      <c r="B8" s="11" t="s">
        <v>59</v>
      </c>
      <c r="C8" s="11" t="s">
        <v>45</v>
      </c>
      <c r="D8" s="11" t="s">
        <v>60</v>
      </c>
      <c r="E8" s="11" t="s">
        <v>47</v>
      </c>
      <c r="F8" s="11" t="s">
        <v>38</v>
      </c>
      <c r="G8" s="11" t="s">
        <v>61</v>
      </c>
      <c r="H8" s="11" t="s">
        <v>62</v>
      </c>
      <c r="I8" s="11" t="s">
        <v>63</v>
      </c>
      <c r="J8" s="32" t="s">
        <v>51</v>
      </c>
    </row>
    <row r="9" spans="1:10" ht="29.25" customHeight="1">
      <c r="A9" s="11" t="s">
        <v>58</v>
      </c>
      <c r="B9" s="11" t="s">
        <v>64</v>
      </c>
      <c r="C9" s="11" t="s">
        <v>65</v>
      </c>
      <c r="D9" s="11" t="s">
        <v>66</v>
      </c>
      <c r="E9" s="11" t="s">
        <v>67</v>
      </c>
      <c r="F9" s="11" t="s">
        <v>38</v>
      </c>
      <c r="G9" s="11" t="s">
        <v>68</v>
      </c>
      <c r="H9" s="11" t="s">
        <v>69</v>
      </c>
      <c r="I9" s="11" t="s">
        <v>70</v>
      </c>
      <c r="J9" s="11" t="s">
        <v>71</v>
      </c>
    </row>
    <row r="10" spans="1:10" ht="29.25" customHeight="1">
      <c r="A10" s="11" t="s">
        <v>72</v>
      </c>
      <c r="B10" s="11" t="s">
        <v>73</v>
      </c>
      <c r="C10" s="11" t="s">
        <v>74</v>
      </c>
      <c r="D10" s="11" t="s">
        <v>75</v>
      </c>
      <c r="E10" s="11" t="s">
        <v>76</v>
      </c>
      <c r="F10" s="11" t="s">
        <v>38</v>
      </c>
      <c r="G10" s="11" t="s">
        <v>77</v>
      </c>
      <c r="H10" s="11" t="s">
        <v>78</v>
      </c>
      <c r="I10" s="11" t="s">
        <v>79</v>
      </c>
      <c r="J10" s="11" t="s">
        <v>80</v>
      </c>
    </row>
    <row r="11" spans="1:10" ht="39" customHeight="1">
      <c r="A11" s="12" t="s">
        <v>81</v>
      </c>
      <c r="B11" s="12" t="s">
        <v>82</v>
      </c>
      <c r="C11" s="12" t="s">
        <v>83</v>
      </c>
      <c r="D11" s="12" t="s">
        <v>84</v>
      </c>
      <c r="E11" s="12" t="s">
        <v>85</v>
      </c>
      <c r="F11" s="12" t="s">
        <v>86</v>
      </c>
      <c r="G11" s="12" t="s">
        <v>87</v>
      </c>
      <c r="H11" s="12" t="s">
        <v>88</v>
      </c>
      <c r="I11" s="12" t="s">
        <v>89</v>
      </c>
      <c r="J11" s="12" t="s">
        <v>90</v>
      </c>
    </row>
    <row r="12" spans="1:10" ht="29.25" customHeight="1">
      <c r="A12" s="10" t="s">
        <v>91</v>
      </c>
      <c r="B12" s="10" t="s">
        <v>92</v>
      </c>
      <c r="C12" s="10" t="s">
        <v>93</v>
      </c>
      <c r="D12" s="10" t="s">
        <v>94</v>
      </c>
      <c r="E12" s="10" t="s">
        <v>95</v>
      </c>
      <c r="F12" s="10" t="s">
        <v>96</v>
      </c>
      <c r="G12" s="10" t="s">
        <v>97</v>
      </c>
      <c r="H12" s="10" t="s">
        <v>98</v>
      </c>
      <c r="I12" s="10" t="s">
        <v>99</v>
      </c>
      <c r="J12" s="10" t="s">
        <v>100</v>
      </c>
    </row>
    <row r="13" spans="1:10" ht="29.25" customHeight="1">
      <c r="A13" s="12" t="s">
        <v>101</v>
      </c>
      <c r="B13" s="12" t="s">
        <v>102</v>
      </c>
      <c r="C13" s="12" t="s">
        <v>103</v>
      </c>
      <c r="D13" s="12" t="s">
        <v>104</v>
      </c>
      <c r="E13" s="12" t="s">
        <v>105</v>
      </c>
      <c r="F13" s="12" t="s">
        <v>86</v>
      </c>
      <c r="G13" s="12" t="s">
        <v>106</v>
      </c>
      <c r="H13" s="12" t="s">
        <v>107</v>
      </c>
      <c r="I13" s="12" t="s">
        <v>108</v>
      </c>
      <c r="J13" s="12" t="s">
        <v>109</v>
      </c>
    </row>
    <row r="14" spans="1:10" ht="29.25" customHeight="1">
      <c r="A14" s="11" t="s">
        <v>110</v>
      </c>
      <c r="B14" s="11" t="s">
        <v>111</v>
      </c>
      <c r="C14" s="11" t="s">
        <v>112</v>
      </c>
      <c r="D14" s="11" t="s">
        <v>113</v>
      </c>
      <c r="E14" s="11" t="s">
        <v>114</v>
      </c>
      <c r="F14" s="11" t="s">
        <v>38</v>
      </c>
      <c r="G14" s="11" t="s">
        <v>115</v>
      </c>
      <c r="H14" s="11" t="s">
        <v>116</v>
      </c>
      <c r="I14" s="11" t="s">
        <v>117</v>
      </c>
      <c r="J14" s="11" t="s">
        <v>118</v>
      </c>
    </row>
    <row r="15" spans="1:10" ht="29.25" customHeight="1">
      <c r="A15" s="11" t="s">
        <v>110</v>
      </c>
      <c r="B15" s="11" t="s">
        <v>119</v>
      </c>
      <c r="C15" s="11" t="s">
        <v>120</v>
      </c>
      <c r="D15" s="11" t="s">
        <v>121</v>
      </c>
      <c r="E15" s="11" t="s">
        <v>114</v>
      </c>
      <c r="F15" s="11" t="s">
        <v>38</v>
      </c>
      <c r="G15" s="11" t="s">
        <v>122</v>
      </c>
      <c r="H15" s="11" t="s">
        <v>123</v>
      </c>
      <c r="I15" s="11" t="s">
        <v>124</v>
      </c>
      <c r="J15" s="11" t="s">
        <v>118</v>
      </c>
    </row>
    <row r="16" spans="1:10" ht="29.25" customHeight="1">
      <c r="A16" s="11" t="s">
        <v>110</v>
      </c>
      <c r="B16" s="11" t="s">
        <v>125</v>
      </c>
      <c r="C16" s="11" t="s">
        <v>112</v>
      </c>
      <c r="D16" s="11" t="s">
        <v>126</v>
      </c>
      <c r="E16" s="11" t="s">
        <v>114</v>
      </c>
      <c r="F16" s="11" t="s">
        <v>38</v>
      </c>
      <c r="G16" s="11" t="s">
        <v>127</v>
      </c>
      <c r="H16" s="11" t="s">
        <v>128</v>
      </c>
      <c r="I16" s="11" t="s">
        <v>129</v>
      </c>
      <c r="J16" s="11" t="s">
        <v>118</v>
      </c>
    </row>
    <row r="17" spans="1:10" ht="19.5" customHeight="1">
      <c r="A17" s="11" t="s">
        <v>110</v>
      </c>
      <c r="B17" s="11" t="s">
        <v>130</v>
      </c>
      <c r="C17" s="11" t="s">
        <v>120</v>
      </c>
      <c r="D17" s="11" t="s">
        <v>131</v>
      </c>
      <c r="E17" s="11" t="s">
        <v>114</v>
      </c>
      <c r="F17" s="11" t="s">
        <v>38</v>
      </c>
      <c r="G17" s="11" t="s">
        <v>132</v>
      </c>
      <c r="H17" s="11" t="s">
        <v>133</v>
      </c>
      <c r="I17" s="11" t="s">
        <v>134</v>
      </c>
      <c r="J17" s="11" t="s">
        <v>118</v>
      </c>
    </row>
    <row r="18" spans="1:10" ht="39" customHeight="1">
      <c r="A18" s="10" t="s">
        <v>110</v>
      </c>
      <c r="B18" s="10" t="s">
        <v>135</v>
      </c>
      <c r="C18" s="10" t="s">
        <v>136</v>
      </c>
      <c r="D18" s="10" t="s">
        <v>137</v>
      </c>
      <c r="E18" s="10" t="s">
        <v>114</v>
      </c>
      <c r="F18" s="10" t="s">
        <v>38</v>
      </c>
      <c r="G18" s="10" t="s">
        <v>138</v>
      </c>
      <c r="H18" s="10" t="s">
        <v>139</v>
      </c>
      <c r="I18" s="10" t="s">
        <v>140</v>
      </c>
      <c r="J18" s="10" t="s">
        <v>118</v>
      </c>
    </row>
  </sheetData>
  <mergeCells count="2">
    <mergeCell ref="A1:J1"/>
    <mergeCell ref="A2:J2"/>
  </mergeCells>
  <hyperlinks>
    <hyperlink ref="J6" r:id="rId1" xr:uid="{54CF2482-CD4A-4AFA-9111-D887B8564E36}"/>
    <hyperlink ref="J7" r:id="rId2" xr:uid="{E9734DF3-45F7-4C99-B11D-3F22FA89A411}"/>
    <hyperlink ref="J8" r:id="rId3" xr:uid="{49EE59D7-EA73-4879-9FD7-962D616AEFB3}"/>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election activeCell="A7" sqref="A7"/>
    </sheetView>
  </sheetViews>
  <sheetFormatPr defaultRowHeight="13.8"/>
  <cols>
    <col min="1" max="1" width="18" customWidth="1"/>
    <col min="2" max="2" width="36" customWidth="1"/>
    <col min="3" max="3" width="22" customWidth="1"/>
    <col min="4" max="4" width="48" customWidth="1"/>
    <col min="5" max="5" width="40" customWidth="1"/>
  </cols>
  <sheetData>
    <row r="1" spans="1:5" ht="17.399999999999999">
      <c r="A1" s="15" t="s">
        <v>141</v>
      </c>
      <c r="B1" s="15"/>
      <c r="C1" s="15"/>
      <c r="D1" s="15"/>
      <c r="E1" s="15"/>
    </row>
    <row r="2" spans="1:5" ht="17.399999999999999">
      <c r="A2" s="15" t="s">
        <v>142</v>
      </c>
      <c r="B2" s="15"/>
      <c r="C2" s="15"/>
      <c r="D2" s="15"/>
      <c r="E2" s="15"/>
    </row>
    <row r="4" spans="1:5" ht="12" customHeight="1">
      <c r="A4" s="9" t="s">
        <v>143</v>
      </c>
      <c r="B4" s="9" t="s">
        <v>144</v>
      </c>
      <c r="C4" s="9" t="s">
        <v>145</v>
      </c>
      <c r="D4" s="9" t="s">
        <v>146</v>
      </c>
      <c r="E4" s="9" t="s">
        <v>32</v>
      </c>
    </row>
    <row r="5" spans="1:5" ht="39" customHeight="1">
      <c r="A5" s="8" t="s">
        <v>47</v>
      </c>
      <c r="B5" s="8" t="s">
        <v>147</v>
      </c>
      <c r="C5" s="8" t="s">
        <v>148</v>
      </c>
      <c r="D5" s="8" t="s">
        <v>149</v>
      </c>
      <c r="E5" s="8" t="s">
        <v>51</v>
      </c>
    </row>
    <row r="6" spans="1:5" ht="39" customHeight="1">
      <c r="A6" s="8" t="s">
        <v>150</v>
      </c>
      <c r="B6" s="8" t="s">
        <v>151</v>
      </c>
      <c r="C6" s="8" t="s">
        <v>152</v>
      </c>
      <c r="D6" s="8" t="s">
        <v>153</v>
      </c>
      <c r="E6" s="8" t="s">
        <v>118</v>
      </c>
    </row>
    <row r="7" spans="1:5" ht="39" customHeight="1">
      <c r="A7" s="8" t="s">
        <v>154</v>
      </c>
      <c r="B7" s="8" t="s">
        <v>155</v>
      </c>
      <c r="C7" s="8" t="s">
        <v>156</v>
      </c>
      <c r="D7" s="8" t="s">
        <v>157</v>
      </c>
      <c r="E7" s="8" t="s">
        <v>109</v>
      </c>
    </row>
    <row r="8" spans="1:5" ht="29.25" customHeight="1">
      <c r="A8" s="8" t="s">
        <v>158</v>
      </c>
      <c r="B8" s="8" t="s">
        <v>159</v>
      </c>
      <c r="C8" s="8" t="s">
        <v>160</v>
      </c>
      <c r="D8" s="8" t="s">
        <v>161</v>
      </c>
      <c r="E8" s="8" t="s">
        <v>162</v>
      </c>
    </row>
    <row r="9" spans="1:5" ht="29.25" customHeight="1">
      <c r="A9" s="8" t="s">
        <v>163</v>
      </c>
      <c r="B9" s="8" t="s">
        <v>164</v>
      </c>
      <c r="C9" s="8" t="s">
        <v>165</v>
      </c>
      <c r="D9" s="8" t="s">
        <v>166</v>
      </c>
      <c r="E9" s="8" t="s">
        <v>167</v>
      </c>
    </row>
    <row r="10" spans="1:5" ht="39" customHeight="1">
      <c r="A10" s="8" t="s">
        <v>168</v>
      </c>
      <c r="B10" s="8" t="s">
        <v>169</v>
      </c>
      <c r="C10" s="8" t="s">
        <v>170</v>
      </c>
      <c r="D10" s="8" t="s">
        <v>171</v>
      </c>
      <c r="E10" s="8" t="s">
        <v>172</v>
      </c>
    </row>
    <row r="11" spans="1:5" ht="29.25" customHeight="1">
      <c r="A11" s="8" t="s">
        <v>173</v>
      </c>
      <c r="B11" s="8" t="s">
        <v>174</v>
      </c>
      <c r="C11" s="8" t="s">
        <v>170</v>
      </c>
      <c r="D11" s="8" t="s">
        <v>175</v>
      </c>
      <c r="E11" s="8" t="s">
        <v>176</v>
      </c>
    </row>
    <row r="12" spans="1:5" ht="29.25" customHeight="1">
      <c r="A12" s="8" t="s">
        <v>76</v>
      </c>
      <c r="B12" s="8" t="s">
        <v>177</v>
      </c>
      <c r="C12" s="8" t="s">
        <v>178</v>
      </c>
      <c r="D12" s="8" t="s">
        <v>179</v>
      </c>
      <c r="E12" s="8" t="s">
        <v>80</v>
      </c>
    </row>
    <row r="13" spans="1:5" ht="29.25" customHeight="1">
      <c r="A13" s="8" t="s">
        <v>180</v>
      </c>
      <c r="B13" s="8" t="s">
        <v>181</v>
      </c>
      <c r="C13" s="8" t="s">
        <v>182</v>
      </c>
      <c r="D13" s="8" t="s">
        <v>183</v>
      </c>
      <c r="E13" s="8" t="s">
        <v>90</v>
      </c>
    </row>
  </sheetData>
  <mergeCells count="2">
    <mergeCell ref="A1:E1"/>
    <mergeCell ref="A2:E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Distribution_Report</vt:lpstr>
      <vt:lpstr>Reference_Library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NGO</dc:creator>
  <cp:lastModifiedBy>NGO THANH VAN</cp:lastModifiedBy>
  <dcterms:created xsi:type="dcterms:W3CDTF">2026-04-24T06:29:48Z</dcterms:created>
  <dcterms:modified xsi:type="dcterms:W3CDTF">2026-04-24T08:46:20Z</dcterms:modified>
</cp:coreProperties>
</file>